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EDF3F09-B3D1-43B8-B53A-9371A69534E0}" xr6:coauthVersionLast="47" xr6:coauthVersionMax="47" xr10:uidLastSave="{00000000-0000-0000-0000-000000000000}"/>
  <bookViews>
    <workbookView xWindow="7845" yWindow="0" windowWidth="21060" windowHeight="15585" activeTab="1" xr2:uid="{342ED8F0-078E-4AAC-881B-4A1A40341344}"/>
  </bookViews>
  <sheets>
    <sheet name="Dashboard" sheetId="5" r:id="rId1"/>
    <sheet name="Data_Analyze" sheetId="7" r:id="rId2"/>
    <sheet name="Transaction_ALL" sheetId="6" r:id="rId3"/>
  </sheets>
  <definedNames>
    <definedName name="ExternalData_1" localSheetId="2" hidden="1">Transaction_ALL!$A$1:$M$251</definedName>
    <definedName name="Slicer_Location">#N/A</definedName>
  </definedNames>
  <calcPr calcId="191029"/>
  <pivotCaches>
    <pivotCache cacheId="25" r:id="rId4"/>
    <pivotCache cacheId="27" r:id="rId5"/>
    <pivotCache cacheId="29" r:id="rId6"/>
    <pivotCache cacheId="30" r:id="rId7"/>
    <pivotCache cacheId="31" r:id="rId8"/>
    <pivotCache cacheId="33" r:id="rId9"/>
    <pivotCache cacheId="34" r:id="rId10"/>
    <pivotCache cacheId="35" r:id="rId11"/>
    <pivotCache cacheId="36" r:id="rId12"/>
    <pivotCache cacheId="37" r:id="rId13"/>
  </pivotCaches>
  <fileRecoveryPr repairLoad="1"/>
  <extLst>
    <ext xmlns:x14="http://schemas.microsoft.com/office/spreadsheetml/2009/9/main" uri="{876F7934-8845-4945-9796-88D515C7AA90}">
      <x14:pivotCaches>
        <pivotCache cacheId="32"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All_653cc014-29df-4170-833b-ef95942d0ae8" name="Transaction_All" connection="Query - Transaction_All"/>
          <x15:modelTable id="Transaction_Success_8a2b1a57-5344-45a7-8a06-ef7bdf892df4" name="Transaction_Success" connection="Query - Transaction_Success"/>
          <x15:modelTable id="Location_Detail_adc2b484-27fb-4840-a028-9cc92e13f8a2" name="Location_Detail" connection="Query - Location_Detail"/>
          <x15:modelTable id="Transaction_Final_4b8ccbe6-2478-4aa4-b3ec-0d834d79128d" name="Transaction_Final" connection="Query - Transaction_Fin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 i="5" l="1"/>
  <c r="L43" i="5"/>
  <c r="B29" i="5"/>
  <c r="G8" i="5"/>
  <c r="B8" i="5"/>
  <c r="E37" i="7"/>
  <c r="L8"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787008-739F-438A-943E-C882FBE0D14E}" name="Query - Location_Detail" description="Connection to the 'Location_Detail' query in the workbook." type="100" refreshedVersion="8" minRefreshableVersion="5">
    <extLst>
      <ext xmlns:x15="http://schemas.microsoft.com/office/spreadsheetml/2010/11/main" uri="{DE250136-89BD-433C-8126-D09CA5730AF9}">
        <x15:connection id="8acb063a-331f-42a5-b015-7580671099d9"/>
      </ext>
    </extLst>
  </connection>
  <connection id="2" xr16:uid="{ADFA4517-777C-4956-9A76-489742A27450}" name="Query - Transaction_All" description="Connection to the 'Transaction_All' query in the workbook." type="100" refreshedVersion="8" minRefreshableVersion="5">
    <extLst>
      <ext xmlns:x15="http://schemas.microsoft.com/office/spreadsheetml/2010/11/main" uri="{DE250136-89BD-433C-8126-D09CA5730AF9}">
        <x15:connection id="608802cb-b8c3-43e0-b99f-e2150d83871b">
          <x15:oledbPr connection="Provider=Microsoft.Mashup.OleDb.1;Data Source=$Workbook$;Location=Transaction_All;Extended Properties=&quot;&quot;">
            <x15:dbTables>
              <x15:dbTable name="Transaction_All"/>
            </x15:dbTables>
          </x15:oledbPr>
        </x15:connection>
      </ext>
    </extLst>
  </connection>
  <connection id="3" xr16:uid="{8B2C1E63-4810-4771-9F5E-C502322A3CD4}" keepAlive="1" name="Query - Transaction_ALL (2)" description="Connection to the 'Transaction_ALL (2)' query in the workbook." type="5" refreshedVersion="8" background="1" saveData="1">
    <dbPr connection="Provider=Microsoft.Mashup.OleDb.1;Data Source=$Workbook$;Location=&quot;Transaction_ALL (2)&quot;;Extended Properties=&quot;&quot;" command="SELECT * FROM [Transaction_ALL (2)]"/>
  </connection>
  <connection id="4" xr16:uid="{52DAC4C5-F5A3-404C-AD60-55DC92F7EDBE}" name="Query - Transaction_Final" description="Connection to the 'Transaction_Final' query in the workbook." type="100" refreshedVersion="8" minRefreshableVersion="5">
    <extLst>
      <ext xmlns:x15="http://schemas.microsoft.com/office/spreadsheetml/2010/11/main" uri="{DE250136-89BD-433C-8126-D09CA5730AF9}">
        <x15:connection id="60c22d23-fa3a-40f1-ae70-8f334c114891">
          <x15:oledbPr connection="Provider=Microsoft.Mashup.OleDb.1;Data Source=$Workbook$;Location=Transaction_Final;Extended Properties=&quot;&quot;">
            <x15:dbTables>
              <x15:dbTable name="Transaction_Final"/>
            </x15:dbTables>
          </x15:oledbPr>
        </x15:connection>
      </ext>
    </extLst>
  </connection>
  <connection id="5" xr16:uid="{B15AB4CD-993A-49F4-A5A6-14BB4F22B916}" keepAlive="1" name="Query - Transaction_Final (2)" description="Connection to the 'Transaction_Final (2)' query in the workbook." type="5" refreshedVersion="0" background="1">
    <dbPr connection="Provider=Microsoft.Mashup.OleDb.1;Data Source=$Workbook$;Location=&quot;Transaction_Final (2)&quot;;Extended Properties=&quot;&quot;" command="SELECT * FROM [Transaction_Final (2)]"/>
  </connection>
  <connection id="6" xr16:uid="{A6DBC111-A9A1-4573-B2A6-0E87B63CD45E}" name="Query - Transaction_Success" description="Connection to the 'Transaction_Success' query in the workbook." type="100" refreshedVersion="8" minRefreshableVersion="5">
    <extLst>
      <ext xmlns:x15="http://schemas.microsoft.com/office/spreadsheetml/2010/11/main" uri="{DE250136-89BD-433C-8126-D09CA5730AF9}">
        <x15:connection id="83a1d04d-bde8-477b-8ef5-afc93769b8c8">
          <x15:oledbPr connection="Provider=Microsoft.Mashup.OleDb.1;Data Source=$Workbook$;Location=Transaction_Success;Extended Properties=&quot;&quot;">
            <x15:dbTables>
              <x15:dbTable name="Transaction_Success"/>
            </x15:dbTables>
          </x15:oledbPr>
        </x15:connection>
      </ext>
    </extLst>
  </connection>
  <connection id="7" xr16:uid="{7DE4B1BC-D892-4A15-9780-848EE74EE4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<sst xmlns="http://schemas.openxmlformats.org/spreadsheetml/2006/main" count="2394" uniqueCount="351">
  <si>
    <t>ORD0001</t>
  </si>
  <si>
    <t>March</t>
  </si>
  <si>
    <t>Friday</t>
  </si>
  <si>
    <t>Running Shoes</t>
  </si>
  <si>
    <t>Footwear</t>
  </si>
  <si>
    <t>Emma Clark</t>
  </si>
  <si>
    <t>New York</t>
  </si>
  <si>
    <t>Debit Card</t>
  </si>
  <si>
    <t>Cancelled</t>
  </si>
  <si>
    <t>ORD0002</t>
  </si>
  <si>
    <t>Thursday</t>
  </si>
  <si>
    <t>Headphones</t>
  </si>
  <si>
    <t>Electronics</t>
  </si>
  <si>
    <t>Emily Johnson</t>
  </si>
  <si>
    <t>San Francisco</t>
  </si>
  <si>
    <t>Pending</t>
  </si>
  <si>
    <t>ORD0003</t>
  </si>
  <si>
    <t>February</t>
  </si>
  <si>
    <t>Saturday</t>
  </si>
  <si>
    <t>John Doe</t>
  </si>
  <si>
    <t>Denver</t>
  </si>
  <si>
    <t>Amazon Pay</t>
  </si>
  <si>
    <t>ORD0004</t>
  </si>
  <si>
    <t>Wednesday</t>
  </si>
  <si>
    <t>Olivia Wilson</t>
  </si>
  <si>
    <t>Dallas</t>
  </si>
  <si>
    <t>Credit Card</t>
  </si>
  <si>
    <t>ORD0005</t>
  </si>
  <si>
    <t>Monday</t>
  </si>
  <si>
    <t>Smartwatch</t>
  </si>
  <si>
    <t>ORD0006</t>
  </si>
  <si>
    <t>T-Shirt</t>
  </si>
  <si>
    <t>Clothing</t>
  </si>
  <si>
    <t>ORD0007</t>
  </si>
  <si>
    <t>Tuesday</t>
  </si>
  <si>
    <t>Houston</t>
  </si>
  <si>
    <t>PayPal</t>
  </si>
  <si>
    <t>Completed</t>
  </si>
  <si>
    <t>ORD0008</t>
  </si>
  <si>
    <t>Sunday</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</si>
  <si>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</si>
  <si>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</si>
  <si>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</si>
  <si>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</si>
  <si>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</si>
  <si>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</si>
  <si>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</si>
  <si>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</si>
  <si>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</si>
  <si>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</si>
  <si>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</si>
  <si>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</si>
  <si>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</si>
  <si>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</si>
  <si>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</si>
  <si>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</si>
  <si>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</si>
  <si>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</si>
  <si>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</si>
  <si>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</si>
  <si>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</si>
  <si>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</si>
  <si>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</si>
  <si>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</si>
  <si>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</si>
  <si>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April</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</si>
  <si>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</si>
  <si>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</si>
  <si>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</si>
  <si>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</si>
  <si>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</si>
  <si>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</si>
  <si>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</si>
  <si>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</si>
  <si>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</si>
  <si>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</si>
  <si>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</si>
  <si>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</si>
  <si>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</si>
  <si>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</si>
  <si>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</si>
  <si>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</si>
  <si>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</si>
  <si>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</si>
  <si>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</si>
  <si>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</si>
  <si>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</si>
  <si>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</si>
  <si>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</si>
  <si>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</si>
  <si>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</si>
  <si>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</si>
  <si>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</si>
  <si>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</si>
  <si>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</si>
  <si>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</si>
  <si>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</si>
  <si>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</si>
  <si>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</si>
  <si>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</si>
  <si>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</si>
  <si>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</si>
  <si>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</si>
  <si>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</si>
  <si>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</si>
  <si>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</si>
  <si>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</si>
  <si>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</si>
  <si>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</si>
  <si>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</si>
  <si>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</si>
  <si>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</si>
  <si>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</si>
  <si>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</si>
  <si>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</si>
  <si>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</si>
  <si>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</si>
  <si>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</si>
  <si>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</si>
  <si>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</si>
  <si>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</si>
  <si>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</si>
  <si>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</si>
  <si>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</si>
  <si>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</si>
  <si>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</si>
  <si>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</si>
  <si>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</si>
  <si>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</si>
  <si>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</si>
  <si>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</si>
  <si>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</si>
  <si>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</si>
  <si>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</si>
  <si>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</si>
  <si>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</si>
  <si>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</si>
  <si>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</si>
  <si>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</si>
  <si>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</si>
  <si>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</si>
  <si>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</si>
  <si>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</si>
  <si>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</si>
  <si>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</si>
  <si>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</si>
  <si>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</si>
  <si>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</si>
  <si>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</si>
  <si>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</si>
  <si>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</si>
  <si>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</si>
  <si>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</si>
  <si>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</si>
  <si>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</si>
  <si>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</si>
  <si>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</si>
  <si>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</si>
  <si>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</si>
  <si>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</si>
  <si>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</si>
  <si>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</si>
  <si>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</si>
  <si>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</si>
  <si>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</si>
  <si>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</si>
  <si>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</si>
  <si>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</si>
  <si>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</si>
  <si>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</si>
  <si>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</si>
  <si>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</si>
  <si>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</si>
  <si>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</si>
  <si>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</si>
  <si>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</si>
  <si>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</si>
  <si>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</si>
  <si>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</si>
  <si>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</si>
  <si>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</si>
  <si>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</si>
  <si>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</si>
  <si>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</si>
  <si>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</si>
  <si>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</si>
  <si>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</si>
  <si>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</si>
  <si>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</si>
  <si>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</si>
  <si>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</si>
  <si>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</si>
  <si>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</si>
  <si>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</si>
  <si>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</si>
  <si>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</si>
  <si>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</si>
  <si>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</si>
  <si>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</si>
  <si>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</si>
  <si>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</si>
  <si>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</si>
  <si>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</si>
  <si>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</si>
  <si>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</si>
  <si>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</si>
  <si>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</si>
  <si>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</si>
  <si>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</si>
  <si>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</si>
  <si>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</si>
  <si>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</si>
  <si>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</si>
  <si>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</si>
  <si>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</si>
  <si>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</si>
  <si>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</si>
  <si>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</si>
  <si>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</si>
  <si>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</si>
  <si>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</si>
  <si>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</si>
  <si>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</si>
  <si>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</si>
  <si>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</si>
  <si>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</si>
  <si>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</si>
  <si>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</si>
  <si>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</si>
  <si>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</si>
  <si>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</si>
  <si>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</si>
  <si>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</si>
  <si>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</si>
  <si>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</si>
  <si>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</si>
  <si>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</si>
  <si>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</si>
  <si>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</si>
  <si>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</si>
  <si>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</si>
  <si>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</si>
  <si>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</si>
  <si>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</si>
  <si>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</si>
  <si>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</si>
  <si>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</si>
  <si>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</si>
  <si>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</si>
  <si>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</si>
  <si>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</si>
  <si>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</si>
  <si>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</si>
  <si>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</si>
  <si>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</si>
  <si>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</si>
  <si>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</si>
  <si>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</si>
  <si>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</si>
  <si>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</si>
  <si>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</si>
  <si>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</si>
  <si>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</si>
  <si>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</si>
  <si>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</si>
  <si>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</si>
  <si>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</si>
  <si>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</si>
  <si>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</si>
  <si>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</si>
  <si>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</si>
  <si>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</si>
  <si>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</si>
  <si>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</si>
  <si>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</si>
  <si>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</si>
  <si>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</si>
  <si>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</si>
  <si>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</si>
  <si>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</si>
  <si>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</si>
  <si>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</si>
  <si>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</si>
  <si>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</si>
  <si>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</si>
  <si>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</si>
  <si>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</si>
  <si>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</si>
  <si>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</si>
  <si>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</si>
  <si>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</si>
  <si>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</si>
  <si>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</si>
  <si>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</si>
  <si>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</si>
  <si>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</si>
  <si>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</si>
  <si>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</si>
  <si>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</si>
  <si>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</si>
  <si>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</si>
  <si>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</si>
  <si>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</si>
  <si>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Sum of Total Sales</t>
  </si>
  <si>
    <t>Row Labels</t>
  </si>
  <si>
    <t>Grand Total</t>
  </si>
  <si>
    <t>Sum of Quantity</t>
  </si>
  <si>
    <t>Count of Order ID</t>
  </si>
  <si>
    <t>Order ID</t>
  </si>
  <si>
    <t>Date</t>
  </si>
  <si>
    <t>Month</t>
  </si>
  <si>
    <t>Day</t>
  </si>
  <si>
    <t>Product</t>
  </si>
  <si>
    <t>Category</t>
  </si>
  <si>
    <t>Price</t>
  </si>
  <si>
    <t>Quantity</t>
  </si>
  <si>
    <t>Total Sales</t>
  </si>
  <si>
    <t>Customer Name</t>
  </si>
  <si>
    <t>Payment Method</t>
  </si>
  <si>
    <t>Status</t>
  </si>
  <si>
    <t>State</t>
  </si>
  <si>
    <t>City</t>
  </si>
  <si>
    <t>Massachusetts</t>
  </si>
  <si>
    <t>Illinois</t>
  </si>
  <si>
    <t>Texas</t>
  </si>
  <si>
    <t>Colorado</t>
  </si>
  <si>
    <t>California</t>
  </si>
  <si>
    <t>Florida</t>
  </si>
  <si>
    <t>Washington</t>
  </si>
  <si>
    <t>Total Success Order</t>
  </si>
  <si>
    <t>Average Order Value</t>
  </si>
  <si>
    <t>AOV</t>
  </si>
  <si>
    <t>Top Payment Method</t>
  </si>
  <si>
    <t>Total Sales Each Location</t>
  </si>
  <si>
    <t>Top 3 Best-Selling Products</t>
  </si>
  <si>
    <t>Top Customer</t>
  </si>
  <si>
    <t>Customer Location</t>
  </si>
  <si>
    <t>Method</t>
  </si>
  <si>
    <t>Percentages</t>
  </si>
  <si>
    <t>CUSTOMER TREND DASHBOARD</t>
  </si>
  <si>
    <t>https://github.com/ramayogas/DataAnalystProtfolio/tree/main/excel_consumer_trends_miami_paypal</t>
  </si>
  <si>
    <t>Total Sales Per Months</t>
  </si>
  <si>
    <t>Total Sales Per Months Per City</t>
  </si>
  <si>
    <t>Sales Percentage by Product</t>
  </si>
  <si>
    <t>Total Sales Per Customer</t>
  </si>
  <si>
    <t>Total Quality Per Customer</t>
  </si>
  <si>
    <t>Total Payment Method Used</t>
  </si>
  <si>
    <t>Total Sales Per Payment Method</t>
  </si>
  <si>
    <t>Total Product Sold</t>
  </si>
  <si>
    <t>Total Sales Each Day</t>
  </si>
  <si>
    <t>Sum of Total Sales and 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</si>
</sst>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_-[$$-409]* #,##0.00_ ;_-[$$-409]* \-#,##0.00\ ;_-[$$-409]* &quot;-&quot;??_ ;_-@_ "/>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22"/>
      <color theme="4" tint="-0.499984740745262"/>
      <name val="Calibri"/>
      <family val="2"/>
      <scheme val="minor"/>
    </font>
    <font>
      <i/>
      <sz val="14"/>
      <color theme="4" tint="-0.249977111117893"/>
      <name val="Calibri"/>
      <family val="2"/>
      <scheme val="minor"/>
    </font>
    <font>
      <u/>
      <sz val="11"/>
      <color theme="10"/>
      <name val="Calibri"/>
      <family val="2"/>
      <scheme val="minor"/>
    </font>
    <font>
      <b/>
      <sz val="28"/>
      <color theme="3"/>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4"/>
      <color theme="1" tint="0.14999847407452621"/>
      <name val="Calibri"/>
      <family val="2"/>
      <scheme val="minor"/>
    </font>
    <font>
      <sz val="11"/>
      <color theme="1" tint="0.1499984740745262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s>
  <borders count="15">
    <border>
      <left/>
      <right/>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0"/>
      </left>
      <right style="thin">
        <color theme="0"/>
      </right>
      <top style="thin">
        <color theme="4" tint="-0.249977111117893"/>
      </top>
      <bottom/>
      <diagonal/>
    </border>
    <border>
      <left style="thin">
        <color theme="0"/>
      </left>
      <right style="thin">
        <color theme="4" tint="-0.249977111117893"/>
      </right>
      <top style="thin">
        <color theme="4" tint="-0.249977111117893"/>
      </top>
      <bottom/>
      <diagonal/>
    </border>
    <border>
      <left style="thin">
        <color theme="4" tint="-0.249977111117893"/>
      </left>
      <right style="thin">
        <color theme="0"/>
      </right>
      <top style="thin">
        <color theme="4" tint="-0.249977111117893"/>
      </top>
      <bottom/>
      <diagonal/>
    </border>
    <border>
      <left style="thin">
        <color theme="4" tint="-0.249977111117893"/>
      </left>
      <right style="thin">
        <color theme="0"/>
      </right>
      <top style="thin">
        <color theme="4" tint="-0.249977111117893"/>
      </top>
      <bottom style="thin">
        <color theme="4" tint="-0.249977111117893"/>
      </bottom>
      <diagonal/>
    </border>
    <border>
      <left style="thin">
        <color theme="0"/>
      </left>
      <right style="thin">
        <color theme="0"/>
      </right>
      <top style="thin">
        <color theme="4" tint="-0.249977111117893"/>
      </top>
      <bottom style="thin">
        <color theme="4" tint="-0.249977111117893"/>
      </bottom>
      <diagonal/>
    </border>
    <border>
      <left style="thin">
        <color theme="0"/>
      </left>
      <right style="thin">
        <color theme="4" tint="-0.249977111117893"/>
      </right>
      <top style="thin">
        <color theme="4" tint="-0.249977111117893"/>
      </top>
      <bottom style="thin">
        <color theme="4" tint="-0.249977111117893"/>
      </bottom>
      <diagonal/>
    </border>
    <border>
      <left style="thin">
        <color theme="0"/>
      </left>
      <right/>
      <top style="thin">
        <color theme="4" tint="-0.249977111117893"/>
      </top>
      <bottom/>
      <diagonal/>
    </border>
    <border>
      <left style="thin">
        <color theme="0"/>
      </left>
      <right/>
      <top style="thin">
        <color theme="4" tint="-0.249977111117893"/>
      </top>
      <bottom style="thin">
        <color theme="4" tint="-0.249977111117893"/>
      </bottom>
      <diagonal/>
    </border>
    <border>
      <left/>
      <right style="thin">
        <color theme="0"/>
      </right>
      <top style="thin">
        <color theme="4" tint="-0.249977111117893"/>
      </top>
      <bottom/>
      <diagonal/>
    </border>
    <border>
      <left/>
      <right style="thin">
        <color theme="0"/>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s>
  <cellStyleXfs count="3">
    <xf numFmtId="0" fontId="0" fillId="0" borderId="0"/>
    <xf numFmtId="42" fontId="1" fillId="0" borderId="0" applyFont="0" applyFill="0" applyBorder="0" applyAlignment="0" applyProtection="0"/>
    <xf numFmtId="0" fontId="5" fillId="0" borderId="0" applyNumberFormat="0" applyFill="0" applyBorder="0" applyAlignment="0" applyProtection="0"/>
  </cellStyleXfs>
  <cellXfs count="41">
    <xf numFmtId="0" fontId="0" fillId="0" borderId="0" xfId="0"/>
    <xf numFmtId="0" fontId="0" fillId="3" borderId="0" xfId="0" applyFill="1"/>
    <xf numFmtId="14" fontId="0" fillId="0" borderId="0" xfId="0" applyNumberFormat="1"/>
    <xf numFmtId="0" fontId="2" fillId="3" borderId="0" xfId="0" applyFont="1" applyFill="1"/>
    <xf numFmtId="0" fontId="7" fillId="0" borderId="0" xfId="0" applyFont="1"/>
    <xf numFmtId="0" fontId="4" fillId="2" borderId="12" xfId="0" applyFont="1" applyFill="1"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164" fontId="3" fillId="2" borderId="1" xfId="0" applyNumberFormat="1" applyFont="1" applyFill="1" applyBorder="1" applyAlignment="1">
      <alignment horizontal="center" vertical="center" wrapText="1"/>
    </xf>
    <xf numFmtId="0" fontId="4" fillId="2"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164" fontId="3" fillId="2" borderId="1" xfId="0" applyNumberFormat="1" applyFont="1" applyFill="1" applyBorder="1" applyAlignment="1">
      <alignment horizontal="center"/>
    </xf>
    <xf numFmtId="0" fontId="6" fillId="3" borderId="0" xfId="0" applyFont="1" applyFill="1" applyAlignment="1">
      <alignment horizontal="center"/>
    </xf>
    <xf numFmtId="0" fontId="5" fillId="3" borderId="0" xfId="2" applyFill="1" applyAlignment="1">
      <alignment horizontal="center" vertical="center"/>
    </xf>
    <xf numFmtId="0" fontId="4" fillId="2" borderId="1" xfId="0" applyFont="1" applyFill="1" applyBorder="1" applyAlignment="1">
      <alignment horizontal="center" vertical="center"/>
    </xf>
    <xf numFmtId="164" fontId="3" fillId="2" borderId="5" xfId="0" applyNumberFormat="1" applyFont="1" applyFill="1" applyBorder="1" applyAlignment="1">
      <alignment horizontal="center"/>
    </xf>
    <xf numFmtId="164" fontId="3" fillId="2" borderId="6" xfId="0" applyNumberFormat="1" applyFont="1" applyFill="1" applyBorder="1" applyAlignment="1">
      <alignment horizontal="center"/>
    </xf>
    <xf numFmtId="164" fontId="3" fillId="2" borderId="7" xfId="0" applyNumberFormat="1" applyFont="1" applyFill="1" applyBorder="1" applyAlignment="1">
      <alignment horizontal="center"/>
    </xf>
    <xf numFmtId="0" fontId="4" fillId="2" borderId="10" xfId="0" applyFont="1" applyFill="1" applyBorder="1" applyAlignment="1">
      <alignment horizontal="center"/>
    </xf>
    <xf numFmtId="0" fontId="4" fillId="2" borderId="8" xfId="0" applyFont="1" applyFill="1" applyBorder="1" applyAlignment="1">
      <alignment horizontal="center"/>
    </xf>
    <xf numFmtId="0" fontId="3" fillId="2" borderId="11" xfId="0" applyFont="1" applyFill="1" applyBorder="1" applyAlignment="1">
      <alignment horizontal="center"/>
    </xf>
    <xf numFmtId="0" fontId="3" fillId="2" borderId="6" xfId="0" applyFont="1" applyFill="1" applyBorder="1" applyAlignment="1">
      <alignment horizontal="center"/>
    </xf>
    <xf numFmtId="0" fontId="3" fillId="2" borderId="9" xfId="0" applyFont="1" applyFill="1" applyBorder="1" applyAlignment="1">
      <alignment horizontal="center"/>
    </xf>
    <xf numFmtId="164" fontId="3" fillId="2" borderId="5" xfId="1" applyNumberFormat="1" applyFont="1" applyFill="1" applyBorder="1" applyAlignment="1">
      <alignment horizontal="center"/>
    </xf>
    <xf numFmtId="164" fontId="3" fillId="2" borderId="6" xfId="1" applyNumberFormat="1" applyFont="1" applyFill="1" applyBorder="1" applyAlignment="1">
      <alignment horizontal="center"/>
    </xf>
    <xf numFmtId="164" fontId="3" fillId="2" borderId="7" xfId="1" applyNumberFormat="1" applyFont="1" applyFill="1" applyBorder="1" applyAlignment="1">
      <alignment horizontal="center"/>
    </xf>
    <xf numFmtId="0" fontId="0" fillId="0" borderId="0" xfId="0" applyBorder="1"/>
    <xf numFmtId="0" fontId="8" fillId="0" borderId="0" xfId="0" applyFont="1" applyAlignment="1">
      <alignment horizontal="center"/>
    </xf>
    <xf numFmtId="0" fontId="9" fillId="0" borderId="0" xfId="0" applyFont="1" applyAlignment="1">
      <alignment horizontal="center"/>
    </xf>
    <xf numFmtId="0" fontId="9" fillId="0" borderId="0" xfId="0" applyFont="1"/>
    <xf numFmtId="0" fontId="8" fillId="0" borderId="0" xfId="0" applyFont="1"/>
    <xf numFmtId="0" fontId="10" fillId="0" borderId="0" xfId="0" pivotButton="1" applyFont="1"/>
    <xf numFmtId="0" fontId="10" fillId="0" borderId="0" xfId="0" applyFont="1"/>
    <xf numFmtId="0" fontId="11" fillId="0" borderId="0" xfId="0" applyFont="1" applyAlignment="1">
      <alignment horizontal="left"/>
    </xf>
    <xf numFmtId="0" fontId="11" fillId="0" borderId="0" xfId="0" applyFont="1"/>
    <xf numFmtId="10" fontId="11" fillId="0" borderId="0" xfId="0" applyNumberFormat="1" applyFont="1"/>
    <xf numFmtId="0" fontId="11" fillId="0" borderId="0" xfId="0" pivotButton="1" applyFont="1"/>
    <xf numFmtId="164" fontId="11" fillId="0" borderId="0" xfId="0" applyNumberFormat="1" applyFont="1"/>
    <xf numFmtId="0" fontId="11" fillId="2" borderId="0" xfId="0" applyFont="1" applyFill="1" applyBorder="1"/>
    <xf numFmtId="0" fontId="11" fillId="4" borderId="0" xfId="0" applyFont="1" applyFill="1" applyBorder="1"/>
  </cellXfs>
  <cellStyles count="3">
    <cellStyle name="Currency [0]" xfId="1" builtinId="7"/>
    <cellStyle name="Hyperlink" xfId="2" builtinId="8"/>
    <cellStyle name="Normal" xfId="0" builtinId="0"/>
  </cellStyles>
  <dxfs count="114">
    <dxf>
      <font>
        <strike val="0"/>
        <outline val="0"/>
        <shadow val="0"/>
        <u val="none"/>
        <vertAlign val="baseline"/>
        <sz val="11"/>
        <color theme="1" tint="0.14999847407452621"/>
        <name val="Calibri"/>
        <family val="2"/>
        <scheme val="minor"/>
      </font>
      <fill>
        <patternFill patternType="solid">
          <fgColor indexed="64"/>
          <bgColor theme="0"/>
        </patternFill>
      </fill>
    </dxf>
    <dxf>
      <font>
        <strike val="0"/>
        <outline val="0"/>
        <shadow val="0"/>
        <u val="none"/>
        <vertAlign val="baseline"/>
        <sz val="11"/>
        <color theme="1" tint="0.14999847407452621"/>
        <name val="Calibri"/>
        <family val="2"/>
        <scheme val="minor"/>
      </font>
      <fill>
        <patternFill patternType="solid">
          <fgColor indexed="64"/>
          <bgColor theme="4" tint="0.79998168889431442"/>
        </patternFill>
      </fill>
    </dxf>
    <dxf>
      <font>
        <color theme="1" tint="0.14999847407452621"/>
      </font>
    </dxf>
    <dxf>
      <font>
        <color theme="1" tint="0.14999847407452621"/>
      </font>
    </dxf>
    <dxf>
      <font>
        <color theme="1" tint="0.14999847407452621"/>
      </font>
    </dxf>
    <dxf>
      <font>
        <strike val="0"/>
        <outline val="0"/>
        <shadow val="0"/>
        <u val="none"/>
        <vertAlign val="baseline"/>
        <sz val="11"/>
        <color theme="1" tint="0.14999847407452621"/>
        <name val="Calibri"/>
        <family val="2"/>
        <scheme val="minor"/>
      </font>
      <fill>
        <patternFill patternType="solid">
          <fgColor indexed="64"/>
          <bgColor theme="0"/>
        </patternFill>
      </fill>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sz val="14"/>
      </font>
    </dxf>
    <dxf>
      <font>
        <sz val="14"/>
      </font>
    </dxf>
    <dxf>
      <font>
        <sz val="12"/>
      </font>
    </dxf>
    <dxf>
      <font>
        <sz val="12"/>
      </font>
    </dxf>
    <dxf>
      <font>
        <sz val="14"/>
      </font>
    </dxf>
    <dxf>
      <font>
        <sz val="14"/>
      </font>
    </dxf>
    <dxf>
      <font>
        <sz val="14"/>
      </font>
    </dxf>
    <dxf>
      <font>
        <sz val="12"/>
      </font>
    </dxf>
    <dxf>
      <font>
        <sz val="12"/>
      </font>
    </dxf>
    <dxf>
      <font>
        <sz val="14"/>
      </font>
    </dxf>
    <dxf>
      <font>
        <sz val="12"/>
      </font>
    </dxf>
    <dxf>
      <font>
        <sz val="14"/>
      </font>
    </dxf>
    <dxf>
      <font>
        <sz val="12"/>
      </font>
    </dxf>
    <dxf>
      <font>
        <sz val="14"/>
      </font>
    </dxf>
    <dxf>
      <font>
        <sz val="12"/>
      </font>
    </dxf>
    <dxf>
      <font>
        <sz val="14"/>
      </font>
    </dxf>
    <dxf>
      <font>
        <sz val="14"/>
      </font>
    </dxf>
    <dxf>
      <font>
        <sz val="14"/>
      </font>
    </dxf>
    <dxf>
      <font>
        <sz val="12"/>
      </font>
    </dxf>
    <dxf>
      <font>
        <sz val="12"/>
      </font>
    </dxf>
    <dxf>
      <font>
        <sz val="14"/>
      </font>
    </dxf>
    <dxf>
      <font>
        <sz val="12"/>
      </font>
    </dxf>
    <dxf>
      <font>
        <sz val="12"/>
      </font>
    </dxf>
    <dxf>
      <font>
        <sz val="12"/>
      </font>
    </dxf>
    <dxf>
      <numFmt numFmtId="164" formatCode="_-[$$-409]* #,##0.00_ ;_-[$$-409]* \-#,##0.00\ ;_-[$$-409]* &quot;-&quot;??_ ;_-@_ "/>
    </dxf>
    <dxf>
      <numFmt numFmtId="165" formatCode="&quot;Rp&quot;#,##0"/>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rgb="FFC00000"/>
        </patternFill>
      </fill>
    </dxf>
    <dxf>
      <fill>
        <patternFill>
          <bgColor theme="9"/>
        </patternFill>
      </fill>
    </dxf>
  </dxfs>
  <tableStyles count="0" defaultTableStyle="TableStyleMedium2" defaultPivotStyle="PivotStyleLight16"/>
  <colors>
    <mruColors>
      <color rgb="FFFF80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0"/>
              <c:pt idx="0">
                <c:v>Miami</c:v>
              </c:pt>
              <c:pt idx="1">
                <c:v>Houston</c:v>
              </c:pt>
              <c:pt idx="2">
                <c:v>Los Angeles</c:v>
              </c:pt>
              <c:pt idx="3">
                <c:v>Denver</c:v>
              </c:pt>
              <c:pt idx="4">
                <c:v>Seattle</c:v>
              </c:pt>
              <c:pt idx="5">
                <c:v>Dallas</c:v>
              </c:pt>
              <c:pt idx="6">
                <c:v>Boston</c:v>
              </c:pt>
              <c:pt idx="7">
                <c:v>Chicago</c:v>
              </c:pt>
              <c:pt idx="8">
                <c:v>San Francisco</c:v>
              </c:pt>
              <c:pt idx="9">
                <c:v>New York</c:v>
              </c:pt>
            </c:strLit>
          </c:cat>
          <c:val>
            <c:numLit>
              <c:formatCode>General</c:formatCode>
              <c:ptCount val="10"/>
              <c:pt idx="0">
                <c:v>11680</c:v>
              </c:pt>
              <c:pt idx="1">
                <c:v>11570</c:v>
              </c:pt>
              <c:pt idx="2">
                <c:v>11370</c:v>
              </c:pt>
              <c:pt idx="3">
                <c:v>10370</c:v>
              </c:pt>
              <c:pt idx="4">
                <c:v>9425</c:v>
              </c:pt>
              <c:pt idx="5">
                <c:v>7720</c:v>
              </c:pt>
              <c:pt idx="6">
                <c:v>7475</c:v>
              </c:pt>
              <c:pt idx="7">
                <c:v>7320</c:v>
              </c:pt>
              <c:pt idx="8">
                <c:v>6110</c:v>
              </c:pt>
              <c:pt idx="9">
                <c:v>5490</c:v>
              </c:pt>
            </c:numLit>
          </c:val>
          <c:extLst>
            <c:ext xmlns:c16="http://schemas.microsoft.com/office/drawing/2014/chart" uri="{C3380CC4-5D6E-409C-BE32-E72D297353CC}">
              <c16:uniqueId val="{00000000-8FD1-4F9E-BB28-0CA1C7256E7E}"/>
            </c:ext>
          </c:extLst>
        </c:ser>
        <c:dLbls>
          <c:showLegendKey val="0"/>
          <c:showVal val="0"/>
          <c:showCatName val="0"/>
          <c:showSerName val="0"/>
          <c:showPercent val="0"/>
          <c:showBubbleSize val="0"/>
        </c:dLbls>
        <c:gapWidth val="150"/>
        <c:axId val="637943920"/>
        <c:axId val="637944400"/>
      </c:barChart>
      <c:catAx>
        <c:axId val="63794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637944400"/>
        <c:crosses val="autoZero"/>
        <c:auto val="1"/>
        <c:lblAlgn val="ctr"/>
        <c:lblOffset val="100"/>
        <c:noMultiLvlLbl val="0"/>
      </c:catAx>
      <c:valAx>
        <c:axId val="637944400"/>
        <c:scaling>
          <c:orientation val="minMax"/>
        </c:scaling>
        <c:delete val="0"/>
        <c:axPos val="l"/>
        <c:numFmt formatCode="[$$-409]#,##0" sourceLinked="0"/>
        <c:majorTickMark val="in"/>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6379439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solidFill>
              <a:schemeClr val="lt1"/>
            </a:solidFill>
          </a:ln>
          <a:effectLst/>
        </c:spPr>
      </c:pivotFmt>
      <c:pivotFmt>
        <c:idx val="3"/>
        <c:spPr>
          <a:solidFill>
            <a:schemeClr val="accent1">
              <a:shade val="76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tint val="54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v>Series1</c:v>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A30-4847-A7D1-4EDD3A21C075}"/>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A30-4847-A7D1-4EDD3A21C07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A30-4847-A7D1-4EDD3A21C075}"/>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7A30-4847-A7D1-4EDD3A21C075}"/>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7A30-4847-A7D1-4EDD3A21C075}"/>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1">
                        <a:lumMod val="50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PayPal</c:v>
              </c:pt>
              <c:pt idx="1">
                <c:v>Amazon Pay</c:v>
              </c:pt>
              <c:pt idx="2">
                <c:v>Credit Card</c:v>
              </c:pt>
              <c:pt idx="3">
                <c:v>Debit Card</c:v>
              </c:pt>
              <c:pt idx="4">
                <c:v>Gift Card</c:v>
              </c:pt>
            </c:strLit>
          </c:cat>
          <c:val>
            <c:numLit>
              <c:formatCode>General</c:formatCode>
              <c:ptCount val="5"/>
              <c:pt idx="0">
                <c:v>35170</c:v>
              </c:pt>
              <c:pt idx="1">
                <c:v>17815</c:v>
              </c:pt>
              <c:pt idx="2">
                <c:v>16015</c:v>
              </c:pt>
              <c:pt idx="3">
                <c:v>11540</c:v>
              </c:pt>
              <c:pt idx="4">
                <c:v>7990</c:v>
              </c:pt>
            </c:numLit>
          </c:val>
          <c:extLst>
            <c:ext xmlns:c16="http://schemas.microsoft.com/office/drawing/2014/chart" uri="{C3380CC4-5D6E-409C-BE32-E72D297353CC}">
              <c16:uniqueId val="{0000000A-7A30-4847-A7D1-4EDD3A21C075}"/>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colorVal">
        <cx:lvl ptCount="0"/>
      </cx:numDim>
    </cx:data>
  </cx:chartData>
  <cx:chart>
    <cx:plotArea>
      <cx:plotAreaRegion>
        <cx:series layoutId="regionMap" uniqueId="{22655B9D-603D-4C6D-9857-1F8B379D69EA}">
          <cx:dataLabels>
            <cx:txPr>
              <a:bodyPr vertOverflow="overflow" horzOverflow="overflow" wrap="square" lIns="0" tIns="0" rIns="0" bIns="0"/>
              <a:lstStyle/>
              <a:p>
                <a:pPr algn="ctr" rtl="0">
                  <a:defRPr sz="850" b="0" i="0">
                    <a:solidFill>
                      <a:schemeClr val="bg1">
                        <a:lumMod val="95000"/>
                      </a:schemeClr>
                    </a:solidFill>
                    <a:latin typeface="Calibri" panose="020F0502020204030204" pitchFamily="34" charset="0"/>
                    <a:ea typeface="Calibri" panose="020F0502020204030204" pitchFamily="34" charset="0"/>
                    <a:cs typeface="Calibri" panose="020F0502020204030204" pitchFamily="34" charset="0"/>
                  </a:defRPr>
                </a:pPr>
                <a:endParaRPr lang="en-ID">
                  <a:solidFill>
                    <a:schemeClr val="bg1">
                      <a:lumMod val="95000"/>
                    </a:schemeClr>
                  </a:solidFill>
                </a:endParaRPr>
              </a:p>
            </cx:txPr>
            <cx:visibility seriesName="0" categoryName="0" value="0"/>
            <cx:separator>, </cx:separator>
          </cx:dataLabels>
          <cx:dataId val="0"/>
          <cx:layoutPr>
            <cx:geography cultureLanguage="en-US" cultureRegion="ID" attribution="Powered by Bing">
              <cx:geoCache provider="{E9337A44-BEBE-4D9F-B70C-5C5E7DAFC167}">
                <cx:binary>1Htpb9xGtvZfMfz5pcLaWYPJAEN2tyQv8iLbcfyFkG2FO4usKq6//j5UK4nVyZUzuIMXiJC4oeZS
VWd9znOO/vll/seX+vbGPpmbunX/+DL/+DT3vvvHDz+4L/ltc+POmuKLNc784s++mOYH88svxZfb
H77am6losx9oSPgPX/Ib62/np//6J96W3ZoX5suNL0z7Zri1y9tbN9TePXLtTy89ufnaFO2ucN4W
Xzz58enV7fTkZ2Orp09uW1/45d3S3f749MFdT5/8cPquP6z7pMbW/PAVz3J6ppmmnDEa3v2wp09q
02b3lwMlziSuCEm4vvuRv659ddPg+b+yo7v93Hz9am+dw5HuPr998sH+ceHnp0++mKH1m9wyiPDH
p+/bwt9+fXLtb/yte/qkcCY53pCY7RDvr+9O/cNDyf/rnydfQA4n33yjnFOhfe/SH3ST3NTFL8a2
xc2vEvq/a4epMyq4lJroo3bIQ+0Qos8kUVQRTo7q+XXto3b+2p7+XD/fPnuioeTff0sNHWpji6//
RfXQ6ExoIQhnR+2EJ+qJ6BmPFOM0ur8BznV03KN6/sKG/lw3vz14opjDi7+lYhIDzdx8Nb9K57/g
ONGZ1pEQIb8PayeaIaE4E1xFTJ6o5K9s5c918vuTJ0pJXv0tlXJZ10VrCoTb/1quCc8I5QRCv88l
+mE0i/QZ4ZFkIhLHYIbr37rLX9nRn+vm9ydPdHP593SYlzfO3XzJB3fr/X9TQfQMyYQpru7j1YnX
KHImQxEyFqmHmvnL+/lz9Zw8fqKjl//+W/rPTzcuBzr0pv1VVv/3sMbVGSeECRWpo4dAD9+iNULD
MyEkj0JO7lISFPitB/21Pf25kr599kRDP/09NfTudr75L3oPI2dcsohH5Cj7UzSg9RkDzNZK0aPy
oofK+e52/lwv94+dqOTdx7+F0zyO879NPA/u/A+LHKbPELWE4kwdgRqS/rduA82EW1pi+j4x8Yea
OSk//vdt/bmGTh5/cJL/T7XN/173/FYc7m78zf6uqvym9Hn86t1xUeuePPoYYDjK7vLrj0+J5uIb
PW7veBCr/m2L1bQ3v2ri90dub5z/8WlAQmiNh4JxrRjhXECp0+3xEuFnEeHIVYrQSIeSPn3SGuvz
H5+iogq3p6KIqbsr2IMzw90lcsZoFIV4XUSEJtFvtfxrUy+ZaX8Txv3vT9qheW2K1rsfn1IKsNId
79u2KkLAT+xLRxHoAWyPoXDuvty8RUrA7eT/Nb1ybq7k9IIUXT33Mo4mD/ohjoQ04XPTjRFtkrJX
fh3OK9rUTfiTh42SfdV2jXtHG+5XG8NsQ7qvbWm7qUzU2PZddF3ItnPSJ0PZFmRIumnm7YGzqW2S
ttXLRRlMU5AnraC0GS/tUDdudPHqh9Z3L9t6KdvdOBaRi3XUtS9EWs7PTNCM4WVZyOXlwtP0Xcn6
7lkbyI+BM+P5ZEaVJeGsd1qU3YuyccV5U84DiYWo6LtcFmubFPkwBbFupiqLIzvq/cT6ftrVds1M
LGs5v12rUdyEHU2rGEIdXxZhnto9zf00xHYcijXWLAvr83Ye6/N5tHW0E9oUl7LJenWltR/LxC1h
cd4HgcE7u8Wfe1uNQxzUQZ3kDa8uutROh3K1ao1V0OLFLS/TOWnGdHxFRdr+7KeFvJ1k3o7nxpd+
lzs3ZnHWLXROXLassasauytFP370li8f0tUomdis7+bL2URzFadW4KA8DQf6Ma3L/sUkSH3uqLR7
TqpxL7OuJ7Ej9sVkDOl2wFvTPpQs7+KimsSlTJ36oMtlfkH9pN15UfLeH3JnwzoeYeq7gA1L+KaX
1Z76oG3Oma/TRBoxr/FYehUXriyDRIzNqOJIcmt24cBF3MmxuehNmu/mbByiA52maT/50iRNRsfs
sFAfQtBZ14mEuHr6RaVFeLMKkh0qAW88VGlh92HLl5sGdAM9aNuI88HM3TVpbf68kr7+aMJSxmk4
kinpgsxf1GOehTtq1aumWexuoHm6t7lRfdLlNYHRkJmM+yyr+8MyZvM+V1a/mkXfnfepHZKh59mz
XKezig1rqmtZM9HFIh/qr2EZmEuflvTSN6rZSaHST/AGO8ZtSfTntBlJES/Oj9V55nv6Lq2L4XKy
jTrQelR5rNvUXUd8/BJOItiNS7Tu0sguTQwPKC6N6liTLNk86iSTEXnRyJo/q3IR/YwShZ6PLpdp
LNxKyE6MNIsdbQK2c2n/TvDaXvVRuH6ufZPuhj5bPgxF11ykawoXDIJQl3EXrGw/doF7tZi5vepF
WU6xN2VZxHQs0kS4KtqRPDXvZdb7eAp0e9nqIvvJ93Uzx5FP67cV72ji1qo7H31z7k0EO1QpH2LB
q/CNyPshWfzM9MG0nE6ILClJn3ddVMaD8N0r26T64GRY37akWi57DVptzvsyHudFx23qv5RhwXds
maZERAW/KGutE8PpzTwtP4naiqStMj3v9EiVrXY9E9DjFHd93g3y9eSCNMOylZDDYuNvKboHAfWL
6RZbZPk9P/rbr/96Zxr8d8fZ/f7lRq/+/tvLX3nZR+86vzUb4eJOb9qy4m/v+p0d3FLRb1ThSW47
Mrn/S+J79OKDrPgAA3yb4igH9viNwf1DUjyBEr9n07vn7jOjlGfIYQwOgXyhCQ+Reo6ZEdXdmSBU
h5FmAsRiBAh6nxhR2zEwIgBBNCL096xIwKQwKuDvBDSjBtf4n6RFhqT8TVbcVkSNoiVhVEnNIooN
fJsVa1LalkyVuI1I6ge9px3vELrDbizWD0IMXXXDAyvcoe0Xt/Cdp7PI5yQwafg5ay1vg8TQuVLP
dC6WYVfpoO0vJt3U7mUtmi5YYlPNovssKl/OZhdIWZcsyZTi5FbNZhne1vms6psoEl36hTWsl1eZ
LPqOxQ0pHLbCO2GbVzkJ/dTuslrYqovNJJrmBVFLjy1nTUOW57RhbflL4EaDZ75R6b3pf4sdUMQ9
kJEOQchrlHF6Y35pCIv4VkaKNMWQyzy6TSfTlv2Fb3jNL2o+OqsuVpf5YkpWgIrilzpMC5oeHl+e
AB09XF8pphh6AhGDprCZh+uvJYsQNWTxtSQVq4rEGyYY4qmmQV8e7Dxl1u9s7jOexwEP1q59PXG2
OJoQvsqJPfPIrq6KjemZJVdaRD2uPb7JDT39jq64AgnBwBVpACIOdlyd7HHOi4DmlgVfZWDHkO6y
VWWqP9QR9yyMW+ul/FSJMPWXj697opttXa65olSEVANDnqzbDYtRJmDR12yBzcl4DLvafcx5Stss
nspiKF61KZpLPs5zQ6mMH1/+Iajcjq1QX/KIAjxHFD70UDWZGIsgnHP2NVC16lkiplCKGzhS4C/N
Wqj6qgiIIS9Z1S/DdeXCcM1j8BQ1hPKf7iRSwBZSADCHKJzChzvJVQ7os4T2K5cTXO6wELmS6iDs
NDi+L6KUy092gAj62Eml5CcTLqPV+7EwYTd9RysITw+tQVCQHkJEUkiohp1oxcsiLJeqTb+kem2F
PTd916TLPkgbp5fzJbIzTOTx85OTSKZCoUMOL4GjMoTT6EQAmV5LoTsffM4Lq5rgYvb55hDNbHLk
2WEq+cqTonEL7eJZUwZBCADe4brpZLkkbUBse62bvLHtrhfG0rfNWLTu8+Pb3OLpt34CtijkPOSC
KMRwMK8P1TRMgDxhv86fZ+stjCAcqhD6CeeJiSCeLRuD645W/eY0fjLbR9Flw3f08wdhESIVyJFQ
6ogzjtD2cBtRT51fnDSf21oEiOElotc6xeMS+kU8Z6lA3HfZYKubphQtIqrtGkvERRSUwVjFfY5o
u0X+JcdTbbHW43M+V51pvhNWyKmDoaPGpKJSRRQalvIkP80oojrdruyzS6kMmn3pXVcPr/vVF12b
TP3SY3OBakZcM0vfmGUXVesSXE9dl146besyS5p1DZfnTd63Po1b1KcpajURBvVb2ehsbRLK9IyQ
SINyIe2zcNVb+VIV6dT333FTAsbvgQFQSSIttQxBG0p0q04iBiyz7cd27D4pYUQpki6MBEwxTQet
bUJWFSC0p8sxetYDx7XhLpx0JI1waZ48k/1hmNj3fYifRnEKtKHhSIRQtvnuiVlUc+WaNDfdp87C
i/o9AyjmLynJ2fKcuWGBOHQ61uuHJp+XRcVDbqc+TxDwJ/k269c0uLANL9cPNhicvIoKuQGEmY9N
rc+rQWzqMY5pmNAyKjG+7WxZrR/WWlZTFYd1vSWtAtKHgkyrc3zJgFXXD1Ezz9AdE+WCD7eGmY92
nXDMHaQaNt1Vc1YAYPR3y+soCxYAcDOXeIUBeMDOi6DdsIHvRFPdzE6idD/o0ZLxmjOz+hfWVqmN
67qxIAKCLG3mi4wjuf7cRm3KP4yosWBkKsqAM8a+NYAoj8eG06gJ6atQKVAIXEnByIlpsHRpM6K7
+tNKGmezeKah6lw8mdLUl2zoJwSKx1c8jUZUIRZRgrwNdkb/YUVUuC6fGjb9zNZhM8Zp4Fv4o05V
SN5y7IX8lJZshRFOdPAue6kQWGCnj29jg7MPnIIpKalCrhA0pBwo+WE4Wtk49IGWzYeGt41nqMsG
EdyaPu8RjfLKtWRvU2WK16OLMkScLhcm22eRp6OJI6Wmeow9zfrndRrJ65mBqVhiNxE5vvVREBZJ
L9bZPIcRhXlchjwtOvAFkmzOnoewQzPmQBeXaVn5zfNHsFuvKPJ9t8Sssmwezx8/8Wlci9CzCQE3
cGqcFhzCSbaqZJq3U+/U+3FoQ4BYYS0FiB3XzW45QBa/yMk0w2znSoO3iTN/h2wD2W0mzYZyoul1
OsvNpGlfrI29KDrKthDZry4kh74eO9BCq1gqeF06NRumJkvUwDsV6eFGjx+JnkS2CAgoQtpEVIMG
wbmfhOqetc1qypa+j3wOturgu2zbgAd7srnunR+jO7xgb2k+by6OWLmFFNv1SDRBTgDjySy2r0xf
ueqm1qXiF8UEuq6P+2Uy8irtZ9xV5Gw74pI10h2qQFl26EBxMZcsyBc47neOdoIycTRNMDZA4Cqh
4MB7D+3TzxVR9WCW9ywbt0jlbQ/TWuu1MF98GFW0jRdv+vWDou2WH5vAEChklk2dLfu1kcRnB82C
YXoPlGohjkmVDNbHxhXRpC0CDRPjU91t0W1A2LwoaDchrHkgEixY+DTEb6ixCETRZByi8F7lgU9E
PZRwiVzTEr8d5bOFwgpU7m+F7esjRvm2Cjrx0QhwAehKURGh7Az/AHXJtHK5yD54NzYKdNLhCG9p
Hs1jlaCyzLP2e2HhJB1tS3IGYA8uDv8DNT0Ue1gaoNZuVu/cQGAhfkH3FWTj6iEfXnbciH06BWZ2
oDPZAoHXY9oCsiDoQUqTnWv/WkkXpeUh9TxCMIBDjm8tehHIAE0Ax/dzi0R1r7asn1qIcq6jFr4C
L9rUkVXzpoigLAg+9FLq8W1oGoOdiKpCbgINt9Wpj0uba/YwJuLwWxJAkABbDRR0WtkADrogC+fl
XZ4vsk5jP1SsS9IpTMsrSVdul32fW9lFsQYZXuaxtX3RPwvrgc3gHoF2guc2awL+Mm1yxZJ+MnP2
JSzq8GJKBy53lWpN/ZWX9WrfNkY2mK5bST294iMJ53UXla0WXdIDP7rhME0iGq9sn6cziN4mbMgL
UH9E79rWapKUsx9sGps56tcyBpdr+ZxkczXCGcbVTksdz4EoeXnQlAwctKJf+MZgk2Eazjs95SQF
fkszf+lzBWSWqLWe1hVlLUyxu5yrJR3i3nWlPIxaZWwnmmBe303S0OLDwOss3THuKUkW1KdmiWXm
Hdjxgk5Vkok6u0Cf3e96E07r81S3YXhOJpLTQxa4KA/3XWUa/n4RY1YF77UJ5/ndDCbPvwycb4O3
yBhq+CqslPb9qsasNXEHKjl3b/S81tV5WoDdOKyGR42JdWUYzRNlV9dHn0lTRu3XnHZmnHcwlaW/
1YOfpjCp6smR8sKnbS+iHeoAUcvztAkqeaWJCqrqfJQddXV+m0ct85DyTFhk+cuVmREmvRLruvwN
k6GX4b5tedepy0GnRV6/aMVc9dm+HDM/jeDD06woDilvpkG8TVvK+ktZ8jyLDrAVyaq4G9cQab12
UTHpOAu47MHEp3Ytl8spc0FenE9Fg2yTVHriCLBjVwziowkGKdwljGMK0mRigC3kauiAunTsFxbN
8lVNlcKHP34ZFEWNa6FGVW+T1Tjef16HXtPxWSltl9ELMgeBUslSimpQ5zOo5aYGvzpueTEUQYHj
ZEwgqdzM6SJDnZQi1yJ7tUzd1KnXZRqUU31QFQtod1kNi47GV7JkotBxr/XGSSjrRV59UFmaButz
zmsHSQVLj5D9ElG7z8XzgKVW1egU9QWpX4MpLqN0P5UIBNneFIRh7whZ25aWMajREAqzfCn6XdhV
pY12rQ8D0X6kGW2xXrPRuO+HLOr7xKL0hmRpNBTIIAmR+fYS7B+QJe57vWF6njucHnQ9aZk8lPm0
SYzVvsKHcbkPrttGbSGfjz6LVKInb2AAawu8ce7RI8B93fGouRcrxNeXCj/IJS7FanVOUGS2pNjU
QzqeU/ETqedNzi3XJbikYAgsVBG0VZTz275HQdMfbFEAaSVTRBY0E4ooF0MADfKhHz74sh2KFvIK
8tWc58PKyfwyKtW25QKa7tZrCcvCCgyX+s9pMG8GJm2waV4sAb6rdbOJZhwJbkWKjfoJexhbh2WT
+/NYy1j/GYRbju/E3Bl5XQmeapbwSYMAijuVE8ji3nrS1Wm8UpXBdrjUL3fCGGA1NrnHuFqsYvuN
OVG9ZGFhg+t7UQfH238V8vE+MAW0eqlo12ADpA3y8XNVyK6w50XLFhy6pyuGmuOMsqwIr1GAZ0bH
4qgos44epobKe7DZZUv0koqYVPm4yFe6GQykNNKmxi20A8dmE9Ac6ajjKlw20Js1guLLWmVh/1kf
JWg6eBDi2vFMOS1QoyWdaeVELpYh2qrz8Kjao3nItKohH8kLPLEXqt4OP8slh51mxG7L5DyX+HIx
fajy92tQ8MGj85izTbxHQ1qHBU2WPQ65vYUU1uE59PvRuYidz7etHwUarNOKX0zNDFf7IBRtVV6u
VKi5O89CkEjhfioGA5/WZbYxHw49ys/FqGj/mcishfk4AcSKw9sRYPeVA5e9vZCO2wcfswgfdRtu
7tCsYtt/O8gsn94PdVZnxaHNIrw37xnJ2EXlFkX8c3a0laJ02qvze5HrcrTYzlywCi9BBjBYvOyK
Cnl+JP0qw/dAbmU07ro+8G2RhC5Lsbgocwwh73zdgdusQRiAsoGa8uFSmWxz5wH5Fd9VyyDL6FAB
LM7LM6ZdPZsLz03YNEmted2Mceoy0IZEkwH35753+ABoFPVV0w/4d2km8HYinAiooh5cfn01Vj4F
KTDZEquTPDPjB9mmM6qAdFk32580Qnl5mFlPEWEim9dDtK8bpNhmPwdtqt2l0EhV88+hnEvEm6w2
pqou7unk0te5LQ9DXqPe/bJwh8H1i67MIY5zduczvYlqCMylU5WuH1gemcm/79mUT/LCH48+68xB
RKyb1wonqrLJib1cQ4Ioh5buJj4yd5vVgK/aTPzIn0aumiABMtDtvL4oKD4sDBz39wXYxyAu6hW8
sua0anUMymKRzUvWEYs75EK2GnYUg4NdHUmWlaCJlh6GtrcpvczSfsU71iP1lqIsB2vYo5UHijIl
6KJ9Qge1Mm3iaxAT4nlTyc2fPJ8KkPBZFXmESibTBTnPLYg05QG13ia8oWAbVUCHqAIXX9Zthsft
UuOUP0+AZ2nwbEqdtcWVZuVGUpoB6e6lqlIm/RsOGmtJ93NaBkt+kFMnarcDdUEkjxVIIPmJZ4yg
JEcy1FD+GvAVp5Jts6WNRqSbuVlqCYzvKMnSGzDRrAgLNj6bVtGk6k21Yjrg2gJMg1VYu17LT4i3
sK9g6lZIoOThdoa0w9BBf0B5ubFUdQG8CmStGzN1n6Re8p585nMt6ysp+25JD5wa54NfpoKUc7pH
RmO1iF0N/jtIopoo+wGM5FT5d2HWl1mWpGJh+fx2UsA2/Vc9FmNPf3ZpBGri3FbD2OgkoKurPqx8
oNzEA7LDjGKfEANMqZTQAxlg5U2paTLiy0CNsZrQmZp39yc56rLvShDEiRBs2Y51F27qetzin16y
LZoA/W/OW7hmu6O9Y+/R7d6+EyQMcMeSLduNKQM70exRuW+9jaJOO7hyBrSYXq1+Id2+hKNuXqmb
7cq9yQJTIhJpgWYPWgB3FPwWToMssfNimYoJtWH0eshVNpl4Qtsfil7WVNPLqW83L8+CdaMDHfpE
+OCAZf6yX0PYNw/Rf7gCb7ntvCrQafx0v5CwGimth6kE18eKrS3KVVVx2XYDf1MdA1Z1JBr7iGxk
dFD3GwnprLSc75qswQxDnPdyCK6HQnQ4s5/QxRufFTTbYFzOZ6yhxnrb1nDncIGpkEfiVAybk3d0
azPu2mnebFKlK60KzBS4tmn2eVnDG9EW33oS4IG3oFeh44/3ckeC8nlOWa2i7xBfJwU9uBzEB1gw
RXCT5A+0cu7RQwBfTa9zYyR2rbJshjdMBmG2D/jmQfUI4iWPx6Lf9v6d6u5hbbctL7deTbj9tQLW
Pyls7TCbYHIKVNUxNJbggLEL1AHwpMeXOiHQ4U0hhuywFigr/Cu3sv6bsacpqvooBZT81UbCajYm
6buU81dKo2eFiCzzTalDUULDhlsOld0Hx8f38pBCEGEI+8EoFw6PdjjsnD7cSzoyCvq2zK41umry
U4FJF4Ro5/A3G/vVADp/T85/XBCjnSAOZKQpyEV9witWuQ0JBrnSt/3cIlFkFTL+pVoqmNq9Zz9+
QLLRdr+3d7YTgrs9jrlRgnbUyYJzXfKs9bV8ex8xpnzdSPtFskWIw8xdNB7KLl3tm2FiS7lrhnaL
58wiNARu5chH39nRQ0vHjlBKRRieY0oLDOWdtsUWHQaTWlj/tj461QRcBx+fhypFXC+isYAKco4B
J7rTDMkB0CLIt42UHeuHNRl7VPYH0TAjwnhGaFkShPoet8M/UnJVLAz1ZDId+1ndMcw+fohTNUJx
PGQYLcSfvRESnXZZkXd7T+dgvMpdtUWm9Q4IdU60w5sliAaOvyr461SXQANEchFCkduPlPKEnFUz
0AiNwuHqPu3N2TalExpEVhNbV2T/EbUmQlD+BIOOcAzM+fM/hAM2pWCix6K8OqYlgORNG6qq4Ret
67eE8fgBt/jyjZnCINB+4vBAzKNg+PKUz5yWdS7sKqoL1Qa2EolqGsU+SQuH+Z4L/nEpqC5CBy/i
qPTVaahrUtosQyaziyMUGQXYEdgR7Rt8PH6q+1GMbw4GrhBLaQzI3DXmo9N2YRiiL6OK3J3blYa5
21Mxb9MIA/4uaTC/uLVFDz0xLgO3quMmXVEtxl5knjTPka0xmJolpurA/LygHNxD+LpJMWNlLhZg
A2Gu0rmoyLwkKUXL6WfX9w3KIFtS3vb7ph5W6pPQhNI1u8gKUG0v2EwMk6/1sZ9XSRQj7BWG0kg/
v6yyfNQYmRlGWRBwIiVGNS5QaKii2dVB2UEV9wBFBXgsj6sjrABCj5As5F0YO5Ya1RQidE95QxG6
URpuMGAaaQBAazBiW1+1dMANgFhyUFfM1RuYC47YpkNzFN4edhFZi7hyviFr3Dqr22InO1WXQ/wr
5dEjbebxPZC5Q1DorE2Q79pHWxJX/QhmCbVFJem+iwyWbCpUFeOzEN2KIkvquXGop8Dn12X9ngH2
anYlF695d1nKMNjIADda8KzLsQ7T0+JYv8uroQHtCgZGocsQl7mPTJoEg8mmsIl7hukh+lr3usNg
Z9bDuTEUuOhxNe/Qb9g6WsCAIZVXxjs0Ed4VHdjmbIchJIwTHHLbE1ImDQHo/GVB6emiZ0LOE/1E
xLz46Aq0Wdq9abUuK7ovWxdgLrRD4Jh9ghln9NL3rVmg290009UucRiAmRgTQDMiomThSzq9qLTz
bo3Rjp4KVNM6suiLFnnoznlY++mzDJtqyXcpB+Bu40a1jf3YgnkJhjg6ttzuY1GPfngmX0QN4nZ5
aPNa0gEo+g5ngfjecOLSYnA5v69C6zs02Kq6QslmNSZiuni0oWwIIllmFLZBq4rGUxWM+h2CuImu
u1YH9aEpRCbiPMuma7EUotwtxZSeF3xkF0XI1svGzuMFmAzzVllJk1mL/EoVvg7BGY/2XQqjvuCZ
MC6G9+WfMTFdf8zCwuxmTVLUojXz5yh2QSnRVjyPuvCTqeCO7dTJF3IqtjndPId2w8AeSjXzfWmK
4dVa1j7cA5X7fbSErIbFyuYLBiCvKeHdc8uD7HkzOr8XDhQ0Zl+yi9EMepfrKXqjurxHX78rvhau
T3d13mXxwtt2J1LdP4tW2hyWtEUXuO0wVAocurQJL1t1mPDKywj12Gc7m+Eccw/p115X9Xk1k3qN
F12KQ16G5rrj4ObjGhSNiwNmsvfTvEY3ddAKlPJD826KaLEPMfj7jIc6L2ITBOwFB013sN61t65U
6RuQhwXmlTzTXwlaPahnSEfejrTMi0O3tMGeuMa/dSMH4YBQsHPLPDxjzi5VLJopSlKl0zz6WIxU
L5eYQBi+OMpLsjdD51HmFE2+YK5ZRLeRFxjkDdLAPms0xhF2nPjyzTyyCnVSY54L9z/sncuSpbia
pV+lX4AyEALBFNj37ZfwW4T7ROYeEQkCCYRAQvD0tXbmOdUnqy9lNW1ry0EOMjx8X0D8/1rfWjlH
Y8mzZvgM20lfPaPhZUqj2xXKk5uHWrvl7DHO3oWscyeo38FZdHFDqgyn369oWeK+2LYsarA26+B9
0ePyG7C4L4mIts9pagcCokADH9y2CVduI7UsQEwZW+lt6fw5tfVYF2Gkxf0aMRzEWKlKt8QyPiN1
JfXZ+NHsibbkktw4XSi9b8my/gwt5/c0wu3jJjtXkBZDUdQehHaVrEO8o2zu73VDzfuqPWayEPZ2
PRW2AwPRlUzUoJ4DG9NPONNDERPZHwYIBQUJ1fzNR333bWrWuSu7ea5fx2YdfxivFSlGb33JI6Pb
osXrg+OaQXPDjeebraQ+Wx5zMjWy7DfXfrZKbwVMHvWG4OdYaO2ibzlMhJMmJiutCfmZip5+Tlnq
ry30fgfbgVr8Uj4X3AYjNlJbX9MsGEQhoy7/NAGGmirDfNYWSTuNj+mSdnsc9Gla5mJjxzkamkdw
OmA7lsa8kqEHzGx9dGi1Sz9NzF8X7Mmv26i27DBquhbtqOrfKz6QQzMza3cYA9fn2eQJLwwd4dh2
9VyEjXOnNAcZPWIOjYqaTflr3s/5V+x1/NIaPny5zW2/LS7wyrGB3FGABYcQT4pq9OP8jPkyKJKl
d9fATN3HFg79IZYRB5kFOfm+WUOKZ5nHiRS2IoMelHTpkcGYKfXUt4cuseYVbFeM1+/IOQr7eN+m
8fQOXW58zPvGHKNV5s9Kme1ST+248wxHLtZgJe57Gs5nY+ny2E/cvJgsoz/jzuFwIOPq7umqcPNA
03qI4tlevGHLSSw+HqDbZP2Bp4pWWI9BWEL2yE9bYPiV88Z820jWvGaQTt7HLZtf8MCvj7jZ2N0W
BTMYplTsZc6TKxzuKC5nlcsq29Y+xvVu+v1WB8NjBwn+sfaDHkuQIeHeLO34rmdLayzX23Y1ObUX
gEod1AE1vNTxliuc2crvYtZlxwieX+n0Rh8yV8dQ5k3wK+AEDNp1Tegm8nJVHrNuxSwk7ezaJbFj
8y5E54WcC5lrfl0CXT9CZZH3AV37NzmbT/wM+PtZRG+TwgTTWtbe+7wFfpnoSJzzQZMPG3C7lLJZ
wjugPvZVEOfGQ0NkTMu8idiF8sFk+zxUfX5WTaYr+LgUgQr43VWWb4oV7TbnrlAx7++HAH7/ZQ1G
hs86DZfZXMfcweiJvImWU09H9RB7GnxjYPZ1mXpEHnZNrs1TWwundrB81+aiRDeIKjB9AgiR8yg4
MDdN29Oa9cY2h9voEVb56BGP7/CpDUvdnTvs5EaWEcPkUibKcncHtaSdythG9cvCtmEth1CmV+B6
PKqWCCPiZcYiPr8lAtufwTli9JykGJzqHljR0c0pOyfEh337ssUrJ65Y/Rjm9kxw2IWnjMIROIxy
7U3VuCmxz3lQdy0InFrmpjCg/GVXBjT3zyIGNVOQhspvwxoF22HBotmWIRtJeF3y1vclMdDx75jE
cVoBkNuqAcrWuSWzKNFk0Z3nYPVT+yDXIM23GB9/H3pVQadR3Y3S0iRRD/NM22yu1rRNJYHAPg24
HzLYm6WNVqKQsrGyuXYN3NlC9ZB5y232Y1/EaoXxw2zbHXtBk2FXwyi86wRk0qr1wh/jGvH0Ks3C
hkESa0106mqjYUfahK0FWeB+pzOZ74Mk96xULadTwWgXQ4qDZvcW6cD8cohAVbFBXugwDDyKd7Vr
iCUlRrgmGEp480DRloI16dMa0IFhMLPZKmSJk3TGHxjCQHjxE4fQmKW7RkvEXeox8vmuUyxizU4T
PyTJXRS41L7CzFX82I4Z/ayd+9i2pn6tG/1R5zppC6wJ6nkB27HjGTeHEA+PEIdEamB/se0iVyLv
TSzs3jUmL/WoN10wYJq6UCpRz6aXaWVMuhYW8Q+cr4iZ/Jxrvu3ZIGHj1Z7fwWHMwjLy0zJWGx42
9DGfmviZASAylXDQenA94IIpwMMtv6JBd9/02E/ZbmKsvk5DPzzbcZrrnUUoiZ+gGtesCJTPT2po
x4r0o9x3I0+e+y6MdvncDJeOJ8Ed6Ty9EA3TcqgnmNc51qKKEO4+e8vsYfOEyCJkeAhXYe7Gaaej
dLgHP7jMJ20WXuTTEvpy7Oq2pOnkdJFHioMhBRBpT1OKN7dbIXI/bxylIRy+93ho4a9VBjflUmxr
Z+7xlMfDX6SdrESL+QIvgT/hqSP2luVpaXvdvLWijj6gvPk9oJ38MIS52jPN2segDU3pVNr8CHv1
KluQYDUWtz0jvH0fFjIPRRIPw3sccnO2JOYewTLfZqWAOHrmmuBN1yEUbuFdiWU3fmixlpzdEomf
XROzj47X0Y8uiperg3NbJXocTjEk4zeI76S7nWleF3Ebjncp5zHmVhyOt4uQ/qTdbRlee3V7ansy
fQ0uC8ROpgJGKMTkIT31SS+GcjLCz/CatgFiIVvaqIwlzpEiDUSb3Ek9ka+maeauQOIq6otWsiYr
O/y9JeQvXBPNqpOTSi1h1dwA5DSYtbr6rPQwf9fY2pqy03EcfuDBu5giD7LFHYO5S6tZt8FRjAl5
vXED+2hznS3EGuiHJPHtl3WZxuMBm+d+sBw01MCT+Arrzlz0CqjkFnIj5uonq786MntRTpAZXSGc
9D/necW9gpsSe5rVUDF/ObhWroAj53Z96+IzROoayJTwG4Z5YKO/KRBSvlesmS90xf5WBBhH5kry
MUh2wajA/IabS97mScp3pp0vuymeKhkGY3hvFxY9w13LclBBmOGKdF4aeVgwVJ1x+vXLzo9N02KU
yzF6guIIhvu4WaKgtPxG4q0qTPTOaIeEAYgUXEQlbVTT0s7ta5fCSlFd2XYY0szutsa6kq+jIJip
455vP/rJ9t0DGaJlqrBV8A5HWp4Omy5NZGu5HoKQtD19SG3Ms6KLRhF/SmCjQV+6IPMt38Mw63x4
1zVDOuQltm1PdWG3Rk22ZHjgJmvVwL/KZGFBc9O16t3KVXdZM07isJwsFjD9KB3UobjwwLxzuzdW
j+JHXXd0qKsFtwpsFKRx4t4Uzo9DOu9rzGr9yTY2UH9M4+RdsmvAP6l+l4zw2p55SOC9HDRAqbmv
zEqDsH1srUbG9I0GwKUsYnAWHoAD5o63/1sFOQvxOU5tv1a5bnzyI4HL1Dz/JdYG+mY4zDK/SaMk
4l5fEOO/WffgBW4+CO7Djf2qkfv06QFc9Yb7bYymXLxbvTRBU/QZhK4Amy1vlxSPCBzH85ttIChk
1xkDpb8P2zxcaWnryY7dYYO7hW8Lj7x2aL/izPZOVYmc7dpfYou3txVoxyJkKgG9xIo/x3OiRbpL
AaqK+BxaO64DOCQxY8bB7lCP+z/DfwSY3lB1oJDuCGAujO46x4m55gJDVEYPYmZqXTVUWAclVSAz
jIjwQnd176mQO72AuMmhHfRDdt0w+mU7HsiUwwVzPNe2iOiY0x1bt5ge4PupN51Z+RqArpkLMiB8
VlCLe2cH2kT9CvsOUxbo98Z0uyGd8qZyBpyKLzYywnzcEB78k7I/I/zoHiGWuiN0YHEdQh6XHUnt
XRutq9ohrglYy+UwgnUgn9vcL+w0YoRjRdzrlRa+X7r+YOYQFKPP9NIjnOO6X3oLkTfmhipepHiO
2mqOt/VpEsHiMSAEcocJFBsib3WSHExKZ1VxlfmvYON+1UVUL2P0lHWiSyrUwfU/DRLkpphah9Wg
3wKHbcS0UbPDOGGmo22Szv2qA39TXDBRk77cuqbeI6fleLBXNsoA55Ax70se0mHY0TWcjtE0sHfp
JI2mknFSDyUERZFgQ2XrdK+yNLQVCRM7/wD6AGyiMBqUXQmmY0Qc1kYEXBHErfsam7cq6Ig5/M7D
cPPFEndsx7pUnoN6GoCy2wThCrB1WgHdIKudqqxPclhSwdwckFvAF8N8HRQx2LrjqOXYlhaC2dcG
YAHXBs+/2SAc8D43vU8j7R9XfNkVzXmW71qwFb8DwEsQD1tdXwMcw9MHlsul+cZaZW5TV0zEERNM
ejaUJeILR2S8HmJH26dhifkdMMn6V20ifPLZsnngatxCGdk24QstwuU184l9XIxs8BYQY4M7zNSA
05QphBW6JH+KIB+yKm+H5RRBtBDVAjbm+xJT5AiTbqJHJMJb4IkmeR55Pexn0oc/UjNFRc7AITZG
biD0p20tEDla75GpJKIidnIIdUkE74tcuNyd6tSATpv6DThozRdEdpdc3tAIbMOl7tlK9nCI4LOG
MYKFVe1ih6M3QN5BFLNmwAvjehoxFPTrdBdbba81iVxWhUmt2R4ghH5ZPJtBHc893iVoAPZBTZPV
hcIA/jAGt4l3Qh1JX2CmXkWRdjwHjtKNoqnwQG9BXkEuedwUFIBiS7VOd50DYFfFoRK7bfT4mToB
TgdsROnKxfqPZWr6HeGTL5c5Wd8ZTgt38XNvdCVHlz1NiZktfl2SjFgIBFQgRYa7WHJyyRrZMWBC
HAFrE/H8EgQN+Vql6M4+0NMjWL22BANGPpGKsT18BpavpUim1pRsoWKt7LK2UyENos8724hM4vw1
sby0EVmT/ZwuyVvAG+3voVx1McSAQa2F1Cp6FzmIh0IBxLgfQJiEO7YkK5aCnCDVMPIwUTsVtc1L
l3izlHhuYqrDfF41sRmz2+eWPizxAhk6JgO/z6SKf4ygLOrCWfkeT2r4YWb0DaDuB9ojiEqAUrXD
JS/Nex0sYY3ZygdlgMnjzljEeyboLh99bYOTaXFTV0Z07GG283CekxFZD8O6K3QBdgx4mL1BMRYM
l0GdfmmC0Lin4fTkzEpO3TTMpGxdttymtVABnekh8bBpyo5T3PRpteUBBiclcn9A24OTT0jLispA
3KoMLnVajnFidxhfoku/Dg3YwCX60fDV/8j5HBV6siGik0m3U5nkfwArDiua0Pk1w7h/iCiPvgYQ
6D/Q07AmReDxwQH5/4HMTXbnYfIftJtx12X2E4Dy/KhtuHJE14cwwn2wPeZ1gC4IE1F1wPPA9Fgz
prjKGOAU/PR1GYn53kLsqDKPRWVE1cZW+CYa3oJM0ue2iakqKVT9k9Z9BCsMpGUXxz9XC/Xf7DoN
Pch84QHVKVfBA0eK6Qc22kHpJ0OngSYPc9uMOOWnLLuxSWZE/hmQgF9bNcJrgOE4PNAVKM16WAiy
GqSKh9DPzSm0jWq3E0DudX7lwi/Jz6SnQ3dsh0zNtOTUhHNQZS6hi8Hh1YFmgacFPqLNI5GGFcC7
aMPYmIWrKE2XmtCf7OqhYhYp8cme0n7JPtK+n3GojLqTXuIcS5owqTDngVOogjWtawAtFIwVcGSM
8aCqVmShcdMAY0fdw+oaPfwOx2BlUwVDE6DebtLL2jVwLEXdgRbSNb9B5LgGR9ggdVtv4fjNxdmM
FUbEPjXmbcgW7toKRmyGvQ+RIeHb+7YdJjtU05JmKCQJdWyn8ct2m4vWAn+LFmu5DBQjWbGh5WF0
R46YZJuXUKxv74SmdZjLQ1N7x8bvNqg3khSCZx3+G1h4lvpLME9YmC/tOnGZlh5tKszt/wt77u8B
EZh/CFDnyMreyszyFODD3+3/PsTO0Xqd/wxbpEj+4XqTtEtgP5kYnRhHt2QOjQ2hooawghmJIFIh
4aNM5Rz3nr22fxpd//fX9Xd3GS8LPUQp4qo5/FdQ4LcM/r8SEiJZEU2qBfvVDfqWbVJ/gR+qyyUu
xGCAXfZfGJV/9+RvvxExbnwat+wwLN9bxcC//kaIhtkcIi/xW/31G91fVE2c9AbW/MQaagHBudAH
iHyIFmblX1/FP1qF/hHm+Kse51/7FP61XuH/5TaHv3Vv/a3NIU4JPuz/YAH+lz6H+1sr0f+oPrth
hof/L3UOf/3gPwod8vTfANKkIS7hW4sVuaW7/ll1FFK0IIE3CW9BGfwLF/k/Gh0o+pHgCiKlnCLS
AtcfFxoc5VvVEU1Q6hDBs8aPAd7CBPLfKXWg7D9BPxmuLETq0OkANDKjKHf4+wVG0SM0pZ6RK6xd
Wm8HgSKdmVcDCQuF6SaYab7TikHidVnSjgVCwtt7QGQa3YyZI9SZ4Mrx2neI16p9DTa+ZMM23Q11
f0TK354BZ7OKyjy9oBcYfFk/aQQ26+AyiwyPMarSZ0gCHnJZPuMxM7TBIYIeUmDoGMt0mtYCf1+0
J+Mo+gK7fHxox5yXeN2+aJL62InmLo2VOSN4r8Ge8W/LNj74aagYPseCYrY4YveOUbeTwa6R6RkP
x4rbDkZfPf6ySbRUttUTbmbTlibu1ztucH4vc1iBCPjZBKkoRjkFIAFbjHThth2SAet+X5MDzLr+
e766Fsd3J6pN0p305sF0K9i4ups/DZnjvWQqK3WizTFWKX6/ijB3riMqMvosP65IcT2xuhkqFUXb
UXckxxGNpzFyye5Yz+2DAZpTjlO37RRSBoUlUHIpjvYdHjpxVYsgKRZlfeEGOZ07we7AVfMiitUT
NPNlN3N2ADR+1KApCy5vCbR8ADOHwqaK8PAARSgqk2Z9S2a3lm6+vQndQTyCrFBJIBmlSYJ0JzP7
hVB+FXuvzniqi4s2eJrExO+Gje0DIfU+2UYoM10K3hb0Iii19Jjz/DyvQ1gCZ0aLEoK/b2ssYJSF
NtlNA0JJsfV+T2idF4FT64kMTfvCWr2dpggMNSKbAL98lOzJFKzV5ENaIW4EAyGrD96CdB2Rnd/l
UfuhvaaXMchOa8+R1E6AA9jJgDeX9aGJLStyuF0gJYJd144vw5S+ZX67tmTBDOdSug96AUYdvQsH
ptXnlrQf7TjTA7Jlplzapd+hHSg4jyT/TbegrbDRJhWuiRc5+SJdcElkpoYr1w57W3drSWqOgGg9
lw68REknCUJ5Tk4jaaOPlW5R2Znp4oPua1up33kYG7tWtOsx6WtVblufoRsL14JAkUjFao2Y50Yx
ETarL0N0V1VdZNDxhZ23Y55XaT+5coJuf4gwgu0GFD/sUyxuex63r4ak9V0fNmofZ1815uyzB09X
JjoNXrC5qqm0aUMrJoVAl0GXlYi6hUXbNetBi9y8hL1H5RHLu6eNZbSCE3I3zUbus7ZbsHU06X4D
d1Ehs8t2vcf4PZMgfBSp2Xbh1inY0FmDHH1HKnjVbTGwNj1FxPBSALo/ElKfZjQ1XcBL2ArtIPrV
QmDd24zHFfxoVqZ1vlTJokYEewZIgkkbvq6cAi8F64w7d9z2c6MRcLEbYIWt659Bf62PHGPtOQLJ
AUs9TRtRLkHX7BCEWyo/K8jAsu92qD/p9nip9grhLMYfDK7wWOVhQLoqoB0yBhA72z6TJzeyGoOw
Cyq24fPU25QcWSPbQsThHx5GeuWBhZ6RkCJFm87PYSZOUIZS4AJMFNQkTymHnbiE8c1x8mOxLVDx
KfUQX8b8p53lk1j9I4/sowQxfLMvo8Mqgt+KbusebWwXMzNYgPjzE+vh4Kwrcjg9hOk6wDCCjFe1
ctTFIcOXQeoRnyOol6LOtucJfuiROYz0WPWgc2V2LgFgrjsiBlKZfsQlha34DvPN3irymY8xlniB
/h2npuSZI7JZKpbv7Ar8B7fawdPxt0MRWcG2ld8n5mbQyig680zCRJbE7boV+zY0U31DrrNjE4cP
gyQfaTpdAbK3pynxbxnI1oIJ9OHJNU5PNhT9S56775KbpdKa/U4bFFw5ZObKpZYvJLIXRmeo+xk5
i8GoIhkGeScZUJDQPMqGA99BrgDR1vEPY7AgiRzeSLLZ4QCRRVRAyNvduMzyukpM/4CRMyj5PD/K
Fgt53Hzka5a/AMM5DrKPLlvawn8h67ifM+kq6EJoINu2lxHSxOPUpdcWIgrSitD/EV/C/RzVEvJo
AnVJJc+6U02VzqO4rCM2dTOCpnFxgHi2JUhW4fHSqDF9l53/gZSlPbKV/RosLL6mls3eomAOmTYf
7Oue37A7lz/M0j2GNfrRRkpvL3y50+PEyzkhulT8aWi3YbfAKfajQEFHSiVyHsF3m4MwgObwK0bq
G2ehtacMQUucNaiMg7eZHnH+inPj6HLATtzvlixIgBRkCuANiQ9ii5N9zZYY5Ww6LqEgR4eatd8X
zKJwsLOXdZ4uUzcaFKfVf8QBEA3ZS74HZ74VVKfRPhlAZWOVDM9Ad0gxgFQoNpyqe2DjQ7VkkCP7
L5lO/fxKEV+GO15nAWS2o1+QKdKln0dkRd5mjjwxbkX45y0sLlx9KnvgwNYXWGMN6W432dAqCK7H
kQzCRSXTKeGvsV0Qj4NDuRp0AuySacDpjWaSTSOeUfSEJ09YV1lq3hG87Lf+jGoVSBwlNkYsvKis
kwirIfGmzWbM3Z8z4/8fr/+3jcn/c0qOKIsQY/4/j9enX5/Nf7TK/9kg+tdP/LNCNIowPMf4J6KI
xqUUG+Q/5+qI/RuJ4yihmIPwBf2nqRr/OwYQpkD609v69s+pOkLpPFjekKBcDXmHMP7vTNUZ/fva
BqUbfwMGeHTmoLAhglbw96m6izhiWIyn90lDA8SHej9eoCuuZBcgFJngMeLhmsf9GetzKp9RCZbk
X2hx+90MW/JMkUlFz+MQv6Rp5L/jxBaXJGY49iWSXLzQfYqbM0dkETVpUMTnJwwK9YiDY1nG17Af
eVAAEpaxunS5mA7OybZFcr2BVryMMtsLiIUn1CzFJWvtWKo1qqteSVoBqQadJiICejG33zqdzwYt
GAu/yljr64RT6bCmbsSwbZZfsOs+qJqzXxQTxbtcBnYItdAfRnVhSROVnoDVfMaQ2PF+s2ZtC0ZQ
RrmtjT+GwJOgWWTBfd/iAMWY5/YNIgGYCUxOagdpUdtIuX0ywVYpiFjah6BpyHeH8k1qY11Fwuty
Ahj5tE5Q92aL0dPN4XeJAO+rB4/5gOMzPmiSf/cefr0LQePGTn2jbTAesTeTewPG52QhP5V41Iqr
chCegV+IO0CNn/k8Jhaftd5hTOouI7b8gxwC9zV1jJ8QyIz3XR/J30riHN3aLPqNqFUGhXEywzEn
4re1xOxyeJE/kiiDp1GLFpqmzupyVDL7IMR2u4Qhju+z4bsS6jtoenGHrpkNkNTi3jnU2h18NRgN
GOoxrDHV3wJLeMIjAwh0Kha5emabp7daz0afblfk6+imdI+KPgG5zEpw28SOAiMBm/HqwbShdcLh
Ye3idK3Qboua1RTPrSfaRd0jBLXtgS9NWGLUHK9NTIKpEKFP8Fsws6Afmx7QAgBwFYWa4nlJJ3lF
dd96Re9AfEfQK7FPG75A4wdp108THNuMojgX+yxqlLpA/5ED5LNFvdDogGTycjUbF0ef9NN15tk2
FD5dakTgZVBKrRMUm8ywTler2SXSeTOg3YKF90u/hkVq8g1ucU/CvkRAOsczY7JvsV/tgo0AEj4K
8MYV+hSDBQB+GiAFScoOoDPmT0Xyi1PKt9DzqYVdOg5mny/+igjPcmVjqs9wEabX2gCvLVxHmj8G
i6crAOn8yAQe/ViJfqUbcg4xDOC2AGmTFrEJFlLAelZlrGO9Z22YfxcOsKUz7KJ5Lx5BTjV7WSfh
l0sjuccKnf4EQ7GdkQV2TZm6Jj0sBgudieblBwi/+DHoOKsgESCNOA95jWLPZb0MS0DnMsv4cM7Q
iKQrABLNbrVke2QJHeARwKVKU4+4qY/JaSKdeZIhXLJMLvYtQSnONyF60J0t7wK4yrW4BDpeQYXm
mYJIjreUAi9EQFXmWI2xgxWbcesOdj6GvxkNbWLJtlcYvlg74bLtmyTMQM4iaWdmyu/QQ2AeEfSr
kEI0L6IL0idArUfTx9vDYkPQDB5kk8VtDfSA+JPgajlm6Gh4bBUBtrpE2Kkyna3PgB/0HVqQyQsh
Y/shwmhEN2THC7uY5QQ8p+GnHr7es29HlG4MwK28Du8UC9CHOyzfaijN17XVbYnDM7yfYCyXQ9LD
gVMCNa/hmFd1vISnbYxAoSbpvaZjf4KfQ05wydMCXR6q9D2a1m5fMlxTlPSiFOglYAgxFsAI5+ct
b9bfKtS63AK2HqFR028onFQC3yKwFJSlNPBPku6A/ildCY6DPCTbjG4a6197GdL9qPu6BPKf3oW+
D1C/iIMoRza54l2evUPabo6rXlBf5mW+M3Reg6qFCvuOh+B2RDN68DtqR5TCLU1crim1f6DcYLin
iRiephFSDWSWAq0z4ScqzCBNR1JWZHDukLkJmwO4x+adbDWKrZR8mobBotc37cvYGH0hsp4fUc03
7BefbY9hJPKHCY7wWMyWbzuKteGgKJYyAtuxAsXjKgtZ8ne99m6HsOZPAF+u7HBmIlffLQ2KDZLg
2gR0LAadLN+1z0VJI709pbDh4PAO6Tvi6Lg34lRX0LYxxYrO3/XACXBgYaFZEkE/OulQyM1GcR/x
vof7OUSfCxBoLHbbK4dyUZJlJccElIUCZg9KSYjIVzrcshPoyScoxSdMD4i0GZRd7RCcxxfcw/ar
mHDfFt3V3wOfoObbKqwxad8gnDutfRGM9fKGXWk8o2uJneusgYJx8++OODeDcprD64Ritqdts4+2
Bpw9ylBe0H4GqAPX3gtaAdSZA8LFLSEOfR7113Srm1OeBU/dmuNSW8DVF3HM65Iikn4UPrV79FfJ
3QQqvAwzfm073R1gyNsTD9sMK0kIp1QresINhc1BDTAMZjAUxEvAqxlX1zoxOL4Xvnw2ItSHwIXp
ZcOQ+xNlRfILi2Nwn0zmG1CF5HnL6CtQh+m+yzkKspeYncwMYDADvLUbE+ZeJ9VY5B7UJ/jf+dS0
rN6PnRhAB69ING+3fczDskbok0OvEDV9mtCD8riNCdgmPLlc0bbfIhjM71g3lmuOp3JTxBF33yMh
gqPcXHJVWrRn+Oj7IYYOCJX0oUvpmw8WWoSZkjuUKHBkMZ18QYObPth/Z+/MtuM20qX7QgdeQGLM
20LNxSqSxUnUDRYpSpjnOZ/+35DtvyW1j336vi+6V7ctkTUAicz4InZ0Xn1beR3kE7S+rV4HX70U
zBAB/2jntbJajVGb7dsyUzeRZY2nyk7DT4Ns45ULCBYLeVavLcdW3+w6e4zyAjtkmrgPcLUZYBpp
5/P6YMUk5nlgVd2A3PgctJa2yksruk2q8iYbtfk84b6eA8N6yuq0ONaJaW0srRl2cRPJbTylwWci
vhMHz7j5TKbeWYUSolc5iOGAR6vfcgj6PBqsKwh3xjYch1Vqhfkm66M3rces08y4v1wvUUcpEUbT
MGPGe3JLxxIrhqoYkLMy9CNPL/1Id7OnRHOKBzZV6amoPR71thHAIB9TL7kty87YwcepLllobXPH
rHbepDdnpu3kbydb2+FTyrd6JMIbF8DPphFJvw+DJLZZ8RPnrrar6YCf1NgyRWzWc0KgaLTGz63B
Wlu6jV3tRiaztxUmRx9KuXEsGSRubW+c3lB2vGzV1iBOcTU59irNQmbiziKK2qWavhRYRD878+Dr
bHPf8lAGa17It7zP622CD7j0STc0h7nVPcyeqbYPFbM6363TPEH6SItzRVjFN1PL2YxDDnlQs8KP
oGuApgBu4pHmNN0KTuh0TdPkln2v38V6th2Fo7Z6UPEExaN7VKwDGO/YbUaep+8DU9O/oeXbIGvg
yAHnKdcYnkLAFnmzYuvRbNosvbddxZS7xZBxCgIckHUhkoPOV/25NNpwL6Yg2LhFjz4Soj0dm7Zv
/TDS2nU9YiDErhe4n+pIb+TW6DmAxkonjsIDaTXOYXIxxs74MhG3ulUosb4+iMw3g1Rsg0KhWjx4
U9AnKNwDYYwvcZ8jBGC1hZny6E7YsDAoQgzHeDx5snwc54FPrew+YOnMK1mwU14ljWMoE6nIwAFb
jIkNyp8x+HpmDrXWSOUyCwjn6WvlVNHHKHmF7BHsT/yd8rMWjgG0+qE6BHMwUYIweNNahxV0xPhX
n+uKP43wineSO89M52bLb9TOqZRotSHG3Ni1qxKm/1R8NIFunMt48g6OMLC/jhzmLm7vPKoIHn/d
2M6HhZExWClXVafAluPGhiFybfLaRH9jJKDlVX6vjxE6jFnOIXjHsd9bWectqwFkohrxq7TYwoix
zVdhGKd7HNwYpEi9nfSitY6N3rAFoKJk40GfXtvOnDPFB5x80mGYPk3xYL20OOimVQtGHpOMoZHs
0HFd4w5MriPhclyh3fwKWOk2TDw+Vj3Djj2NMlwPOM6Rb3qF8R1zoJ90LcN/fJok9/GS96sgrLxb
j6fwAn6v+0PSGuyR26rIj1OeJI+hl3WvHVtPzkztcJkLFT7ktmq33vJhYzNKdprsOH3ZIo8uWjDg
OCipaNg4faUf8GzUD0GQ6906RnPf9UraGBea4tqFuMfD2qifm6gxPhmVV38qyvA5gAZyY4Gbi1eq
0LW9KSpMZWBSMRUO+smVefUwRFOLDEc4zT33U2TdF1H95qomw6utiMeutEhXPr4IHvuxCq0FO4OL
I83m7CXRq+QJ+0uwA6NMA8GMPWrHUah7Spt+/Bg0sg8Vk4JTm4cVoIuw2CZNwk04NfgPGgfny4qj
B3sd+GZiHUT2+K7Y9bHj1+x21ZTTfFe7XhoxQcjiaxNKdmK1whU6JL3AbKAZG+EqeRhTKz5ESiU3
djTEh9yU7gX8LQfYyeFi0rX3zCvVE9jgxRZgOLw5c2bR0O10fklZKgRXPuAulbjqVptLtc76KtgB
ocyuxbJPMhXXVaOsbmXUengMwBz4hII0P45luS+SAFAaxzLgYcWykTXs5gYcRbaKC3wGrGDhRuIg
RwpsYxwRn8pu9PJbI01ac5PNDoex2uApwESoRQ4FSd5ijEYSUR8abpTxzpBasneiMucHwst66Yqp
mh7VCBHLWml4FZ3urtdbINqbvneFiwXbbKbxxEdC5GVbhnXk+GZrlH26+p/conHBwoh3UeG0CzS3
fgSNOj3/IP/8BVSQEpefksi6xyBUp2COBi2mnvavONyqnsYkM43xAojNXoODiuBgkHib8oPmeesg
/Cxyczck4mim9hYyw9aOjI3nYoTvFZOmbsNb3cF+XuOz2v39i/vZGMDRZnltjtANCxQfNPVfxvS5
AeVVD8R4qarm4lbsFYN9PPwDn+Gvfgk0T7oPdUvq7q8fgJ102D6IslxihrPLfxyil4Vb/nfi/7vu
+E+SJLULjOD/d0ly/za+xfGPs37j97/ypyZp010EQgPrIvwBw166i/7UJB39N2GhUlqGZy3iIHLl
H7N+IVArcSJKxvwWkU+PCf0fquRS4AD3g9XCJPjPv/mPZv32zzcQk3weNgvzHFYWsTQckD+LkvgN
Mrg2oXho22XZrhSE8xXmf2bBKsvlTWWFzT3A+eZL5aZUA0WpdhWynneFpc2VnwFSAvs3OcVKD7KR
Q7gBJ05DHpuG6rXVSYL5JAfoW9EG+LsJKUeOzLj0D2U0pdveQlSsjETeMBqc7iJZjEQz0nkHGpyx
IujgPcw9hlckMb9izqVBKbJG61Yj+4ySl8XZKmq78U2G1fyGGWyO1yF7XMOPwIFx0k4bsi+ZXi+M
uOqdg1Dy1oXjjHwyG1D0kvl1Rr8nGhemrm/Oqvs6NKGxElVmHULu7Pswcu6NDuzgijG6eAK+pNL1
D9fLX6xh390U/4IOfP8KIMjg3UCFljh6Ft/TD4iVXFmIj0HrPKjGlAcbOtCSGeJRIEsGwZgY66Uj
SOTyrnQrcVOMgrdWOV7JLiLVh52KknkDyqg8SNUPZxUQpBa9VX5wRNZeoEO212jWpo0dJ8m5tzvS
tF7UZc8ZtONdGDXVtm9xznle89RR17O3K9SucERbicTOjeQHw5X6/e/ftPxZDOdNw5VZLmAeexiY
7F8REhXGizDQK7gyZR68Gsu3H4LE/ETj6HRHChUJNjGbAwbHjul2QTQWO57atmaizlM/6e9VavAx
SHucbsPCSo/A7plJzvyv2hTiK8BM4xRqYryNese4McN6usMS9xxak9hJMJLPaTEOPlkgfR8XY7GL
tEbbpSig6xmTz0bpOde02enDSVfmR+H0N2MjjD36hr2ngQBvPGH5dTzN6WayRxCOSJFbO37NKpkc
Lascv8RRaa6yzhy/VE1gHtw5a/ZNZwBqixA/qqHf0vwxXbkp04s7aNxMbRrvU/MDP2/SrJygcdp1
mijC7Zz3fAx3U7+OSZ4vo3K501UDcj7uCV8WxXSdCr6lFWS55JxHZn0zM6d7wWtcffWymoNIMTZL
wBJr+H5SrkH0v233cqriU9Z1+jnAQXDnFcZwtlPyXSth9lkOIVYl+7mJ8AIqKxRXLe6m2xZ61g22
b0zwylP70V7uTS1V9/kwti/gJ+t3GabhjWURUtPDafqnR97PaxYPVTZ6OOAY55igOsR39O0PNwyD
gCAIB1e7Mi9V953si51mtNnzPI3eunF76YPL5dppSvVlFJ5CgGmr2bfGOfrgVD5dlgngse70+sWt
LbzQUabvaq/6NEmLWqTeyZ9ymmHgeDd2tiJBVOwyvvubklTuSu9CNg72EjfLS3HldJzCVZt5q3PP
Yd+KgthnuZq3g2WLZUEtOczZVWdsoI6KTaz3NT8T6+2lSUt1//2yrXAvscmjrK2pbePGqMrgW5l5
+idPy9sXmRjtS0E+5RK3cZNgjCYuhIBYxO+Fnu5QqbXcJ5TTo5f0vbOD+kVGgOAvxwS9LufN39+6
4i8gRTx3XB0GlaCjw11u7R8+foRdyMIg466iwSqy7gzXWM1NrT0kAMTOjZEQdXPqVkPWitFw4GzK
6sxmPJp2xPp5vJjcg0xvsjo4esSk39LBYXog67EKfUzfwSs9bbwZXWTGoY577fe9DO5Eugv/YsH9
qzdAvo6XxeaM3aq9oJN/eAOF4jwD7NC9Zo7qNlNiTJe6CtGrnIBIGxNntQ3wGd/ZgmDcqohsbeOA
dH7TsZ6fjNEJvnHvmSzMc/lmTq4BbmJKjzB6+wBsuhc80uVCOiUqwsz7B+vn9+fxvx4Wy7VvWhTM
GUzbXLaUv772MW8g71ijfQVxbxccf9vgG1dz4O2btsmeYbCoczK1021GueCuywkCrkRROAeviodj
mXv4XfDRHzJ7bChNg8fdUWKxg8pLorep++JWeW184wre/4gmKlY4ZdpvBE5h2cvYokhj7A/43Tz0
21pNd8Teiem4g4tknNgYvkkMowL3wYuIwBNrnuYdWw5eRFpdZ5u1ZritODW/Nk6hds1IhjQmggd+
1i2QW4SYvhphy3pFYaKGd6kSxkaZldyaZQoMudmTVi1qVIKqOlChFLwWLrc6e4Lp7vutF5BdRSQg
+blxUv4hYbmAOUojrploaZjKwcn4UtTRh161CnBDFLxy5ZEJzPJlBVk+GhgDR3i06mzp8EtxC7Ly
wWjFtM989lGvUMXJ5DjxJzdPvphY5Q91GE2HdCTa1TRiQFbKxE0E7ncNInW6JIbiWfL3dyGbRK7S
n64ECeQYXw1j6+/bwV+2DazVed+mQ32ll6+DeKxzg62+r80Z4H8C6uhbtPrwBiJSxlu2YtWbIzp1
r9ALUmqv2kNEIH6NVyk71nHWQiPO9ZjkOhG8Rfgoth0YfW5Xw9Xf51EnExZ33bsYreFrH7uWtsal
nbtrTpOIywXbsfNQdPYGPYDaRTosoatkhEmyLRyGElFd4TekWWNazwrU9GTlT1ijOL276C6MMUS8
k7Wj3TMamcc1UYb+A3GYJTItonVT1uV+MhTAG+7aPaa0Zcu5fK8ID90L1Zx7W0uHeT2JWG2kOb8Y
pAwIAHhIM/oMCIaEV7GTocXFmojWYrLiuV/oZ8qJCA/psTQSfU9zC2Ymx1T1TtUiKs/IchZJ6z4l
GTyY8XOrJSSpMYlgpirjPHkhsUO2LktrEFUR+xaqKU1WA0qa0MFIKBpXbRiXDQ7gl6PuTTyq2pyU
NgnYkDFh3226Kcp13m7KkpeVLR9UO4ITgDfccxvMkVCB7zmEP9aZMorHEDI5Er/FU0cZifkemQGG
y9BwqhQXfrdsf+R8H3ZxqW0UPID3PCtZV7s699YzzgTd1wplIP6P6XHmQvAYvJblCThDVPq2YZqf
DECPcIf0Xt0j8RJsMtxkujbsLfedVshwhdNPfcN47x28XmkI0YSZcNIGaEp6o8aNNVDCSOdYzOyS
3g2yIxpXYQyQlllu2Kw7aTNfpLANL5apsm+4Oa8MorLYt9m24nFN3cLPxjS/uKTA7gSTRsT+TPLJ
yFndf7+R/mu2+YeTLasGh8r//WDrv1E4RxQ4fvvxcPv73/rzbEsvLz4WWHdLSxcqDD/wz7OtsH6z
vusfFvsE6mFYnf4421qCdmY4aQgWS+soJ4D/f7Y1qTM0+YGIGb8X+v5HZ9tfupIw3LBLFABdHU4a
1G8s/cQ/Puc7tOeq7vvpUowmTWUjaTNaScGK+6k7DveOZs9HdmLYPXU9RTMtreEptdpFaZVF/fLD
p/cXuw7j5xPP91dj6XKB2Fk6KRbnl/XaKuYqlVE/XERdGJcwVQXjaqY0kT8NzPCZn1j9q4t1nnNr
7nW1DziUNQIIuWsxfHeLD8lG/ZafEREezTLjCdiihxfUsYOvBgz06Z/2SYtA9eMThs9vka6AXy7u
J4qPf/78rJj4P5De7mJOUOzWDl0FT8Nynt127lwy8ZknI1nHLjlz5TrED+dUN3dY5jlcNwPzA1Tf
1vBjzvvrlgWJxHEe6ahzDXO2TVgm0V3aQ28hRNyuAQ/J5zaqT/Qa2NMmbjXnzIRsyHd//z38+9dA
uEFn7+QyICDj8Isq585MI7Qqay+UecnnMvQMpmR4OSpU1Z49z9TIhyowsk9//2t/1elAfXDYdU2J
bLP81/KyfthzApQIrYqJ56XwlHGB2t5fgOTBwQ+i57//Tb+ejpbfRA4E4Ygwl3R/lRMq+n5VDb/m
gq/SeqO2o8l2QefNYpVW0UavAYr7pj57pZ+YuKf/6aL59XTAuxSEV6ibtDCimb/+eqCRMSMhqEiM
3ey3POnttzRbXoONtLTB21muZp2vfjdmNcaYOi3dr6T0aYGQs3UzOeTsfXNMIOgk2GyeILMIk0Hb
PH+ttKFa6xpoH58aaavZ26aj+n/aV/37F8U+lGUDtCV1NaSsfv6idKe3C9sOtLPRB/lbTDg1XBla
2hUWaj4NW8cxitN3wPHwzFQNYJvgHD4HY3C/da5SzCA5WRBzTIavMVjmj8GuIvf491+x9YtshyqI
y5GLCFmZtZW785cjjNN4sQ5j3TwnFixe6fFMjRQenIn24G7oe59Epn5PcgK3GkgPFzhEsWs5sO0y
ixLiFEngWtGwOq3cbAxfxoRN7NwSXqzsunqCRYV2DjXaJ3pDwzFEAuLHQdIWl3GpQK6XMuQwNOhF
JlVP4k4MUb6HWZRdRRLe4fIwp1XWu/Wlo1+5E0vTsrOULhvxLFgbrF5hZxu95CZbCpoDHUJK5FDa
zKyArcOoRyRFWaliRPyl4Xlcyp7x4WhrlUxfqhbeV69rDDrGvHO3QcsUjMZO8VjTeUWbiqvRJK2i
NHiXlMyACSlq7XOfw6qrqpYYLtCyg1HL7CMeGFeuqqWoOv7eWT0s9dVNQJH1zOdAYlbI23qEhkUu
tN4axkT3dWa7TKGGkUIOf1jqsfPWpCi7krdstknPgBbv9jxqxOhTLMDGqHOzT1OuRyfRyOrBhvqw
68mMiG3r5OrNc0oGxPqUqC0Zi3CrEVx9A18zfgMzSrO3EkvLN7kiGr+npfzbHKkBn8OBRvBmKQdH
Ycr3BX+UlMLSHU5r+AD86nunuBsQY3HLpWncWkrHTTZwOVAEtv8Lsvd+xKm6jtsGImXCldRtzW5p
MJ/wld44hPSz4L4f6y7PVxCP5qL5iIJICPXajtq0BPRlw1JefhFznnRms+o591X6pUs7uJ1HGddq
B6K0C5BiYnB/icjKBx0jzCGZTXMpC5cYV2fYVUAKIlxw6wLneQQwPx1rjm9jqPtN1hnBbVTrDvS+
dHbHaD3jd+punLYzuaLGgPH56Pc8C7eOFiXB7cCt42CnxCjGBWembb5FKG7kimArWIPNBAHI1wJp
SDK3AZx0gK4BLQqRpF1zO2YuulcbsCvYLpkbppLKZsUsRAo5L48ajVL3dg7bO4gT8MfLMPa+af3g
xvpaL3HCxpbXexcbW1hwLEy3c+3ELyZcDfO+1VndAEKFkQtCvh1UvZVNW8TbOXPyea+3bV75tiBk
77uTPWe7hgIZzedrFS9alSsD0cdJqU5Pc127BUGEEbPviuIlyXOZH8xGYghKgZNfVd+ZAOzAVRin
iLG2i0c0ElG3C5oBzZWHsXkkPSxQ4CtewabsMlQtz5gUG/cEV9k592BUbjRulQb6qdHjf7ftbB0G
ZtgjOA58nbHbsj8pFpX+K0Fu6cAo6uA3UaUV1QeDLvI9sVgMGABCa6TSMg7Wqg9SkudjU0m6dsbE
8k3clQpNK1HaiRGCtTWqILR5udKtNgYFoeUB7/EYblJpRVT38edWhgQRwOUTAo6exhiwCkwg7XND
Jp7jW8x9JC6Golc0XnmDpZmPczaK/uJUci6Z8tbd2e4LHkkh+WD+ggRUY24xxxrFK/blIjrWlMFM
23a0VXyie617tIgcv9lTgKyDV5s/3RMnNjetg96yAgKSwNw1OS0zww42McU/rxk+FxI/YTI8YMob
36smMqEPjWGw8VKbWXBBkMnc2llJ9VPRDMYFvpNp3bedbTwycuBPjA7tUn5HYc60GUSexPtmEgJc
nQsX5DbWXPlc6PVycSZJ3e7crI3au2m2Os/X65HvJhoLXlgJ19A48QSTz5jSubpzVslm7RlyKg9d
KwPBXAZy5VV4hbQ4lydjf+6mbtl8LqowhzWHON+Y86vLUikAPCLvFPBFd3nzy0sfWZ94XcAb8BcW
vIu+piViFaVlqnyZDtw6uPTS+L6gFwkwWc+uIOTfsaaKrohua8Oa4QmYVaTzdY/N1J9zLaoWn3Ff
g+JaBmybeahh1fL/AcfxjlhAABEt++SuyJ9BE8kjNPLYY7iBhO1PEN7eyHjwMqYmma9mN+ntKWSb
m5zKCkb2g8fTYtcWunGpZVi/WkQEsMtbUSyOpYcx50SVKVyIuXFrAGJA0HeV4GP1wePNX9Iste+m
vgWdUtOEnL6MTh62exy3+TeqU5Y1JK6zaM05wDM3sZijdluhtL1oepBvc6TOGhQdy9zcjNE1LonL
wH1abDWiEYQrM9tyV7iT5XOTaEO4IaHJbaK0gBGRVZRGjcV8LuajZ3BJbaBJco0kNiLxFqzRsOEh
M9Yno+mF4wcy6waetOaATazBLsu8WD5qM9v0o8LLb3yAjp1bCtPx9kCmFPyoKTcW4OgIefuAaxnS
mAYUgYqyYejO0+xmD8nAIMJz272VAw7Yq3EBCcN8a9WuytKyPBfOZN1oHVCcTVQX+XAK57GKfM/G
KfjITqT90GFEk39y4xZLW4TMuJIjHhWeAnP9gPfLiBctwvQGlA4mdk9VB6+QHwZkcxPRcBYetaAa
36NQRynM3NZJDzHk8vup1QK0xR5IwiZWPRdpLLrEvJvSTNmX3KkWGF6F3fFsGRGU35ndTbsZYfeB
vfaKeKF2uTlrR9tmG2Myp2Y94BNudsqrufqRFUOMTwGgHz+oWqd+AU9iPCZRw7XGk04+c63n7V0h
Cxq0e8FAaOvlERDBqX+lumsk4pymg/tkQ8sb1yP8cAucaUbBYB1QOczDnSt6U6GN1FsODmQbYrNL
yxu3qSLzTkzgIg/06KE7xROeynPaaNW4zlsQWit2Y313ZrTH62/oytmizmFtGScdb09tcd/jBFmC
h0Hk/je29H/yCJCUd37Yv/8bFICdatm8ffwUXPr97/ypo+hIIsBDSBuZHJnEcmb6U0fRSf1TpAzu
AsKEwOfyLx3FQEchmoTIwRkACYaTzB8eAdMhuWRQaO+4FNK4hi7/k+TS9zLZH3UAzIuMpyVnSX6d
BYLjlyNRHlU6XXfaCZRPnWBAlNKb+0/NIK2iOSZ67kIfxpPu4RdzW9rb7RuTFRCWek7vvYulspyt
KjwuUKnUPBcaZ2QglRoN63pCpDRryCP1adJNwS71YpvUjY3NFZiS4p8G/Z6mJX7XEyyxsUZ7D3uC
7dGNMeRggaDmeqRXI09jjRqY0+RHRF0eDqk5ZvEMLygY9FdRNEsntNMxxnhIakXP+oap6ujee9HU
R/I2jrvNCBcLQ3ruQb5HiiyAT2d9Q6Uu8z0tWIogS3aVvx84/6s//oP+KNAExd/dNmfga19xYP2k
P/7xt/64cTz5G13BJhc5A10DJg734R83jlzyfgs/A5ban76bPwVI+Rsa40LesNkU/H5P/XHjWOZv
BCO4pwxTR87kJ/8nN84ylOPW+PHWgT+PUwd3GlNqQxffC19+kH3MKJUAhgr9hDOyjOrexyymrQGA
YwXr6PPapJYJOXQ2hwrXq8bEmyR6Z36dJp5nVNIRiq16kBsTwXZZkmFK1AsynGU9G5JWrPXYGmgR
InzKp94lOO/YL4NldWf8gwQ0Rvhd27jE34PLVXPP3FQwpPCqS+z+4EexIyTFCXVf7fPJvs+aznzH
TB/MJ72tMf3iTOpuhoTb/MlMg969aRWtBCTknbEHS5eb/UeiZrwFAsRY4CwznqTakpEa18xYIZM1
uukTPO9fMQyPjKf6IcfXa8bMCXFkutU25bt9AIlA7t4UBWOpKgviJwMg+oqkS6H8Jk4G58D62H64
zIAeyLGQXHJh24kp+chqSejIjUn/63WMIXYQYpeI+HEm6HXnMMhL9vwR8zy7SZAvsad4D36N/GLD
aHXTGdrbxON8hRs0Hw8NIQ1fFdLc1EiiQMU8gjoqcmt7oyytvRp6Zp/hO0wbo+tdg7JUWZenTsng
WVHo+ICPOaACYRbegdXGXOI4lK+dstZix+o2QfJpGDn/aYBXfPBvoDCggK7qfiqOjiyzExg5Pss+
x0krHJ7mlP7N4wnQWOj5oPeiDal4da2L0Ir1XRAyDKXwYGmTpjeRZDgZo1EVa9eDJOVbrNRbjyT3
HoON+FRBis5XsEjVo+SEa62wQbnxHsimlz3HDazKp5BJP0DNvrDoymEtRJNrd6JP2OYcotAm8kYT
qR0bb2GrmpBvLjOwkxA9yhmmCVjvF2UHwE/1oNg4bH0O8aCuXhQ4G0kggLBPOSYA4kC4WSXUtMjB
Z9v0XetBaCI4iLtZjJtMBQPaFatsobmP6WSvaa08hH1ztmcvgY2gQAMQYqoV8GjCU9aUB0c3LbaF
k7ZPMOruJ8aVq4Zfsw0Vmap8mF8pGcEG5sbBNhjmBzAZ7QGBNNooqg1v6lzTD9Q1pFsebuIoNRgL
aWu0G1pr8Vog7h2tPiPoxJDzpGWzOug1t6YAZf0kZ/GZsgywbDRRLbUimm91ybCFidV1R0YdEA3i
8b1B/jw2MRblGpr1Wql84ZZictMkINuq31rQW9NUq9cxNGOK5DSprXDFRQQAoq+2qj+5CO0UHZQV
yEtdraTVgONgyjCuZT+HS10vqIJ4Bp+fqIcuRhdYqImrQdiBbxG1vePVJ6cEF1wDL61D/kJ/+Qqr
el57kcmHw822Z0sMNQQoThGqbl/W9aEYYSqa2ZWH8o0ygp0En+AnQj1CZwCN3MojPrEryNRDofKl
tGHehAmffoiIw8H7qa3rnTdP50RoE1atftpS4tFtBmYaMBatZwat8Wos8nZNwerXzNIZ+xewVpMs
6h9irTh7VKv4snPaVd3ZLIKxd7YqpqJJPk1EfiRWPU9Y9/Ddik2OxcR3scJybVXtgi8mNilaMCYa
0s7ea7IvHOLA9ghdHh2Wy2NPX8FqCszkEsku2ZP5ZaPsxovrr74fkpZcNm9KlcVl8qzkLVtWs7QP
MD57SaudKlzn15huhGNZdRHOlaTZQpuRr24NJFrjUEOI8VvU5cYeD2PvLwdCfOHe7KMOyWMP3Beh
yZL3WMSqVagceSBddA2c5h53u75lmfBOoI9G14cr0b2wrjD4GVzIrZXZQXUTPTByxLYdsQJ7q5d1
f6FyJboC45HnZtKvqtG6tZXkr20oSBLI/hZm3ZZeGOLFSeXi12+vrYPvghA1wWA92SZmavLySust
suILVRw8HerAnxYWdpx0j7BRnK3IVfAwppAmtJr6V0o/nlwtebJDSY2ENry1Sn5yQnEQPUSeyuir
bZ5lgJnEiKSC68RJdqSCUVKS2roII6x3o9d8gapvb2x4yXu9E49V4KZcwGnprfMoG052PeqXyDCv
kCtuEDqenZSiFJHBkimXlom22jia/GxJYjymRaZ3WUsrzbsDUbjDD49Bjq8uX1VDSPuwo7zfedsZ
kQrSFRAkQg0qiHCHszsPm6FOj+yGu62N5nBqaF5d1VRWU2YiSyDXc+ZRQtSrQ4TUC9v6OMSUdFBd
Q68n5lcUKG3LwyzzqV90AYlaMgdwsZC6Nb4vQpead5mVbt1HmFyQFpr6nPUoffM4lBtcNNF7NTmW
j2Z1M8UwNIoxezKsYV8E5ZlaIh6siZQb0XQPAzjZOnbzL0Aq9uzKPzHdXAi4TN4nxBcC9258Gmbz
YDRkx3DIeIJtrK0uNLERVrKDulqDfjZONm092xk+zqrtQ/M1KPvqaupGSrixwUSIZrUApHOzuAu1
ARhH2WD273iuVfFY7JkGJgjfRrUlwdTfCPAkfixEtZfgW1YkpJ4ibVwez2NINgqmk2dfRt0Vz1qR
Fbd6CGJ7bc2ZFTJDVEl/Jf7vHSRwq+M0mE/WpFfvJOY06i/yokeYdUezhVpiEF3BajkPe56zYjN0
8kuuDXdG5MZ+Z43dlYq3u7HQNLjx2n0+R/1tOsUvbWM225428mOtnBevtbJHWheOQjO6jcHbg2Kf
1Z9ZXq39krsj0Wg0G7I6zcEEqUeP0BDtHOjqK8+rUj9PKRFBwngFad9uCp3kEpzW9BlMAtXcQ+t9
Y6QUrnu7EpRWmtlb6bnzgztqzirtyfGmNqAWL3efXVfRLhE4ui9caFdFWFB0NlLxJJGkCX9ORFqs
5SbiC0vg+ZrptmYMxH3NywubFmEv+aia9H1mNnKVshhezHaAT9VHl0wHdzwPPLKBaBmEuePGinwF
cnNV6U12wtFR7pOeoJlqi/BsiGzfpRx5NBsVtu9lefVyUVNo4kX9PYhfb8/Et37RlNyX3Tw9Di15
wUWWjX2p0pg2i+6jTr0vrM7ZlnJYuaYFsH8CKnZyClPuKtnMaxuSCw2xDg+IGPW4E1izInBRha+V
ibgUphn7pbBrkDp0X2VdO9/k1ij3mIZgQ0T1F2QWA+djFht3VTUYDyyQLc0lvYnvzvlOZSct226t
3Ep5eLVa8Uq9jHkKHQC0GXvBZ31sTPo3vMybVjhgzAess8Z7kdnOOzwamDqK1BMqKIR4I2PD0POZ
CwbwKyLIbI/z4ejigFnFUIUKU8CdsRmL+tTH9gFp6Wyds/MgeRkPYQSM5/9Rd2bNdSNbdv4rDr/j
BuYhwvbDAc7ImSKp4QVBqUTMc2Zi+PX+oNK1xSO26LL7xQ/dfW90FXEwJXbuvda3jGpML/AseTsI
pwmxHBSixhWFVljV6gl0AZ628a8mdl2ic7wlqkQ7bSVOrmNcN+ZmmRyGGLa+566dnBybEORi1KtN
k6O2kl+UwP1vLqv5qkWaTGeZTmvc8f0rmkNq1y3jjpYJn2+UB0uY9oZoZnXC+bONe+s6T3PrMbMx
bpdoy7GhE+CUi7RCKxF8mBcABarr7xnI23vd+Ip/m4IpjxvCauNHI8FeVa7mKs1m0pe2bQRamN57
Hp+Io6i3XlceFgRrYdWDV6bRYYSNVrdhZqvIX61tTY+DlIG2wv+pNj6I7S/jOuShwN/pPpe4CtrH
ifSJrafj23UyAvdcIMO54VcRW5WcxwPVHcFBLd/EsqFRbd8HY2Xv3cT6VtbysWln50Zz0QtX7FNM
XGG7aWT407dwVRE/0Xx2+itkWmrHlt98ggU1bBhnIFITmP1NE7AxwXj2Jjd6aNpNGeYpirONmTfN
ZVEtSIZb4gsGarqsibO/it6IjMlDbpfxlJNxzNgbw72L9frRM8rLLpX2dW8HMDC6+oXid1h7oFsD
XlOYaiSqTba6mdIh3S0IrB5JVc2i0paoVG18t7ZNsWN2mE5nFGlkAbK4zCimCMRxumvXj7/qQ59E
QQHbPiUI666bPW0XEL4VzqVH1WMwr8RYd11jUL02sQZXTTeGy9AXtMD1+drMg5NmEBWyuA0KPaWQ
bQTeeOkz0m7Yb5SGRi9zeU5a4PnGIC/Z5hK5khdM0JYjfR61XTRtX6Yvmt8hIcNsdmkMeXvoiv6W
TIKLemKaE6QdTjSV6bu2ZXurzN7aW0LtzWYlmeT5hW9A3PZz/aQX/qPjpahus+V58uS3WCZfiRrn
+WmsO1qeXhM/NmoRG7ZTyReNLMBQArsS2bKEieVdLoH/yW+bqA+CZk9KV7MxE7+9jmOTITZDAOTq
7V0+Up1pQ66vBkzMqAxk9esibgCmLdqtdDtFpEI1LXwScpzf4BJYGnStTXez7w/Hnif4C3L571Yx
8ozE47xJLXPoNyP+UhheTvWZcU/VbMEOVNd8skDpTw35xDD6ei8y076+G4UpDgoaOPgZt9jnmZag
rDV7PSVaUrSfTQJDGHrB6kVV3j2OcmXQqVQdqaqLY+Cl9d4OanvXzktyAe7W3fW1fMDmAmamCW4C
X+a3daYZL042yIslzdxTa/n9wSzn4iSbeN45o90/IFdqSKE0IfXo+VVR0yaPE/1mWRIVqqFJiKb0
LPJ7TOfKIA1xixR42lsNLsZcsVtSyEN3go4isGzGSBY0BsVcKCImmU1Vl4DHI0QmorcBlQgKHONo
PwThbG3NtIxvXEOQzlXOX/1KErRpes9eUnLFKGqvagB9ByY6R6dX+DtHdW1UhE5gaiTipwi+4LLJ
os73rCivUrWajQjho66MxoI/PwQMi3l3Enei3GPXv7OJy6AzYEIfmfJdShjTkbrxCFcHOghMnd3a
lwXNV87ceqfelkW2z1OSS4iOvZe5Zu/ZCtNxsab8M+jfgEra1osrPtV8hUZ2C9cQqS/qAXQj4Ts2
dE3szrKAG67YfjSG2V0QCoBxLymzw1DYRtiv3t5CDPqFKDpxGhrrpVvk1RygTl/3FuaSXRus7tuV
KrPO7i7QcbqbPCBfEooHfdBRM0C1ZAJXo69djHZ+i38IAVBTXSWuBySaIT/1NVOylsd/ALVZG/o+
Gel3lMJhLwP5cyeLjD/lS3NDc/T70rR3biMwJc/5pp8Z5SbE4CESYaxv1WGlwSEaBQOvuKRdYw2h
nk6syo4eH9KmROBdoFCwpvk08qYShcIYUJeCNdIx+ogC8Kvy8q8Yvcmv6m4n0YB/YW4ZsYW8YIl+
apnI72w5bdlq8SQzEw2FQrLM26BfL4Y0ARWMtFEWPrq2sI59a9zPuXb0c7ldlFuEXWfUhMGnS/2x
s2HFbJBR+NDrjAfWznuToB3OSIlt4Y7svPwxTHq2g8xhCSDEyUxHAGxNNp7SVTDm2PXXGtHeXU5s
GtfI2Xdjhwd4spZH37BvsQuLaGoNCOSDvhOD40F67HM3pFDWIrf05g0bnPyB9IDvvtFdD4t5QWr5
M7Ao1PHPwqj2wCtegOu0bHOzeVsbSx6SlhZ1eR0agGuipVMvrYAgUmrFl7QD9NPZTOCgdpCygciq
xJsDiDHHUl7X9AJSA64Cq9YXwkluyR0gqWSQvTuFqMS8m0qSeqdR07codBH9g0cYsMLPPf8QX/JW
FbDF9LaD8z+tuWI40sbOvWDge9HrTujmQAck8zW5o4uTnPhkgW9YDK/jCz138lID87C3B0S8BFbZ
/THD/HHrs6oJnP9G70BtTLvU30xU5OJBs91q2FU+bNddrxVjD2gjpdXmskcAM8UYONvldmB0TNG5
Rk7c0nPAfaNfSkiksLgmrxCXsREwTfspEPvP7tfvvzfXz9X34b+tf/gbxQXrXCr+x+v/CmL753HX
odGr/7KtRSbmO/m9n++/D7LkX/3b4LL+k/+n/8+fBOr3OvE6VekfO/HPw/D8LZXDdyGGX9XA5t//
5s9uvBv8KzDRHBr0bH8MnZBW/uzGe9a/EAmjEDF9hlm0Vl/JgZkuETLOv8aWyjeZLv27G2/86OFj
aybR7ceM659048+EffxpfAoBNlz4Rz4jsbVV/0srHkuAqxWt1h78rHxhsh/sNVKAN5mPC/6Xq/OG
1PetI5nYGpGZIjD9DZ9dgl+1Fyqsg28u4wYG1Je2bia+BakM//mROAYyNtszf3fvJoJBd98W7UGM
BTG+Ur8ZFKwTt1veEZW+cUo4hU0k3RyOjfmZalbR7AUPvbSAqYsXtA8v+Epecv7vPz6f1ZAMc9zj
jv92j4SbEuOKYYyYyzHYBj5xWUPq0jyesv+LS7fqY20mmw4i2fM0gaQlJaAh9Oag4opoMR1oQdyY
/mVf5++cFEOoX2dA64PnI5BH9PtjSOWfXTtPYcISwdge0hHWtivn+zmZnrAIPrWKgJg/X8Ez9e/f
ByOPwKU9hTr0nAegkavBu9nQeSGhLPIGhgS531FnaNmz7q82UhvrGl0N8c8fRd9lqgb1wkP5e/56
IeyVZpnW7aHtsuaD7MGtOIFWPGk5/+nP57hesF+Gan+fo+OBundRhfNWv36TF5nTOyUW5KDJrj9U
siVxytTjD38+yluPvPvLUc70+mSM2EqTJUcJJgft5vSkqrE+/Rgk/78d6WxlYtuWNqrmSGkpZ4qI
/HlpNPaX775eP8aNr64c8hcHydEKfVxdY2eT/ASFY84kqzgINwcAo5EgJSbS7uA7faKNqB00i4mU
n6fmzukDhxpIvCNdxvfw293D/O1jHAi8wMbFuL4uv6zDTVw5BD231aFVJowtXbGJnlsx3S52NW+D
WG8iI+gNukaOc9CxTTEOwL5hse89qc4hiRim6LT1pwSVc1OP37w0q2CWxha7H93YSa94mZn/HpMF
N3PrwQLqoXKTcxoQe9i0/CNIG6utjl8vlHy0Dt7UVXc4eE2oqmZzdGKqJES0c4Ty1znEgJs2zVwH
+zHnlSqgvSQhVkKt2hQrAV11iX0UggmELMp6K0yv/iC03D5BqRq/EUkV7NnN8Ntdg6PkdnMx+oPK
mYvCYtrOdql/hakO5GXg92gEFjxXiHuiQol2B9qxvUnMpYmEYztuyI4hBmUloQUxCxbBHpN4u+v0
GPFXhxOcqFgtrFCYbZeKtbPKPRGSVG2S6c36liYZozmXrxB5bcYKR2/g0DMLP9HJYlPTL82FoZM1
5xMpsPeDSiMaQTc/Asp0LqYEmH7iN+WTO7IDwszVfu7cyvwYc+6wlkej/QxuTi78JoWKIvVogIaW
NbPc0MzG1QJ9pXwaRh8/Ox64Ozxh4kvMpblI864lrzB/0Q3uqcxd8yM+1ZdpGOMPwkUAyjaWXz8M
zcVcmk2x62ln8vgGBHTd5pk73edTZh/5qIgwVlW2VwmxSlQi4E5LU9anLLGwAdI8ya4TvKQ3uZvU
L4wLMGI0OOldWTp1ZGojPb0fb15JN/NEzpx/mbpcsiLjIsQyzTHBp3NIoyd5IOydU0rAfn4hmJOv
PEYLUOLpKgQVqllCCl633GegSFusBKoN6IvFirCmFg0bdgGUnYwI0Ka5et1TH2fLR5/kiIepLqoX
GsC4BYuEwl+weOMKBk6bG/hVeLkfoL/y/DgU3lh2bYecXVqSCjT+BLADwga8+oBt2EbEE2LbyWxB
BhE8oa0dBTw2HSLxdrW2htC9gy1Bgv5e8N5DgitR6D0JYobVnpSZ/DmANbFjlquukF9j78sCVe4H
FU/3IyLCTwtU/b3TSgEjTetNivLWcpaVe1t0m35IRjiyjI6+LgFqP3Ph3bIJFDMiHD7Do/LoZiS5
7bD9hYxQTQ0/tpeadXL1NT/MRtgbEi9KrzNNii9dYkJGjpN6SwsRB0Ofv9CMDqjyXevEDzF2RlLN
kTYPaOpSclqxWAW0Twk9JgiWOyQtvr7SYmFN/d6PnDSIETEifI3Sdkq/123gHJhukabspu5ySSjx
p3aY1d6qGiaOAYbg7YI68ES42csQo3jqEDeGg1EyFk2+C0kDJx2mD3VnHkSjvkpgJOSBusCSaHFf
8DX27lLJS8k2dNrqRqmulOiDbUJTZ2ejrII64hUffaCXFwjid9XilSEj7FaE1VgwcSnIrN1YouSh
ZlUElrJOb2uZBzcWde2u03jrC1lCMFNtvLEGoCALou1DNdJQM9ZPf2tz3uiInzFXwQZAk/FcToN/
ZylhXJMKgIYRpsVpkjxRBQvqFxkQVqGXdIJUzek7w8JrVPldcCNqOX4DE0pHIlm3nKld+HeGi/Xb
1stnx2Gh7HvWDxfZCR1QDLFmT8c/9jCVAKmX/l3cFP2lMUpWsh/Fngz6bl/qFXng7NvDyiSwyh05
NI6h/pANPr1twxi/pU59bJkaQUmEoqdQ7W77rLyxWtHs0tGCN4uK/mbo1tK+MZuL0iDeKmJ3LjMU
rjbtbK5ORrReRJCtgc+MVRdLz2dRAGte5wEbePxl6OjYtIpYZNe5MyU7NTNyYWZD2I0GCus6T5zd
YOdLqBooHA5z7H1HzyJUtEsfs4krtHgEDyBcJlNFWw0K3GHaIXrfk97i1g+KLC9svXV9ihdZ3Q2S
tUdLWD2wQW3rQlVc86CROyt3kMKgt7+2YlP/GhhSXCjNoSRu5I0PB/dAKIeiIdUE+4qAtivRZzdW
ZqlPWp4PzHtTcRUjGsp0a/zoF7Mf+TNubXsx0OwGWKUhsVU3BGHHt2XB5Lqv8OQCNk5W1KjIHnmf
n3qlAyj0MRSTDN+FQrfaG3tmM89nkbgV1/6qOQ1AB4+PHsHO9lHL0vKpq1l5+5oVR6984yHTwVrQ
TR5pafxYZF17QCvEPdix/Rs3BYFDId9tpoyEjslDZTp2v6/TYGMaaTtuxBCQxzCXJYtZzj4TQjk9
6io0CJZFqICJBDQwwta66CtErqR/9KQJWhmTswTUB6POsWP8W5mPQwVtdeys6tR4Qid4yJfdySoH
GcEWJ2I7iolw99yLeTSnauHjU/asf5iQ4/vOHLMx0os81fY2wfDpacwDS8EKrEArnmwlm3oTuxIa
FOhbmg/uBvig9zLMOc0Nny7K99ZxVx9UggHe91ojHGc8IFQ3jr7thol1ffYxJTC/7IW4rV2o8H1u
E7EbElOQb0Wb9na0WBLxI2vP8MUvsK7Suiw/jLlFHhux2TRXqe9tGEGMsk91mRdR1upf8aUc2nzF
Us8W4i1HS0Gt836xcKg7x8lxvFn1mmDj4QojIXfe856aFukJMABk6YuD2WFXn7r4uUBhv/VGs9gy
OfCjxuuMT5Uwp2vJN9qgg9QzD6MbhXeltJZrXtfkW1J6hiSPeNA2pTcRpFBq2jGbwKjtPNTSBWIz
lm87oTphwwYBkKl5SXweJ3wo5IhBx58d9Y4Z1PqtGF0L4lVF66JtonVxVoy2EzZ535bFIa0q+yTV
UL001tqeHsU46FAQbEqrsgSVv0lzQ1wrl8oC92Z70xqUVVlfPfPhqk8+s5hoNtnqgHzEEEdCknNh
m1lwWfd5f1m4Q7AVqsvaFZDsQEzlHbSI5ADj7q1JwFiGny3XRl0e8L/2MAe9O5ixLLeEO5ZPepZB
uV7XwBqstR+OC47Vd3ZVq/ry9baKzjitGB26GN7CH5btXwtzRsB04Qe9PHQUExGjSHUlEqkzf+mp
mQRl9vVsrUoRc6HGKoK+uWDxcy7wnzG3xwz4zr75zKmL3pnfQ8PGQKi59h7O981Qw1gP+D1IF56k
Pl+A81rjYbPnupT38cwn/8/7sPVmn++OdHbqto1vlizos93RYCunSsa2PKiOgrSOJXlZNaVJXZNi
z3i4Of75eMZbTx/MPpTRemBhfD/byNY9xZ4NgorFtWNgxIrZ4MarGermPFhCa4JtAUjixoWPe/vj
EzwSe8ZEjyHQLjUA4sdF6Tw39IL300CN8+ff99s+O8C05ZsAb3lDuC5n10PM7ui2mJlQcczZ3tGS
5qK1x/fewd86FhyFRgVRlJ6NO/78FZSZVLFLuNLBtalcXfq4YQ1qMuxM7AtQtIFozTBRr5HSqk9/
PkHzzKzMI0Z9gBIYrxOKb/t8L0ruuK36ckwP9oAx61DaTXCpxXHwpZLUpUODseMm0Bx8Vvb8VEDX
fGGcRHjarByQGk1N9i+LHdDgrkQ9tk1ESy2HyQIYTxJc5k09/NXFRiyOK98t+bvj8p/dib7KvvVg
Q17E697zj37y/25M/3/UrzZAf7F2/cfoih1+i+yvV7rxn//Ov3Xj+r/4E+QvwqawVwE4vZ2fnWrf
+xc9W5oj+CdoEq8K8H+DKywMFzodw1XJbSHqtnhffnaqoV04vCLriwwwgcbbP9KNn78RAU0HdCIG
bXT+Iy/f6w5JgllnYVQtD6YpSYor0ZATnGuy2SHjJBg2ntPXfFLYkURB+m4H8WxRcnQTOgVzdVMn
J+f3t77rkgWN2ST2oySxy5srF5I1VdHsZdXhl9ty+/fS+l8QLN8S9SuG//5f3zxU4Du6DuWSS7de
iF9aQb2VK8OoHLG3jT7bl6ZBLB/r3RaqQBf980NxKQNahnRjcQC/PtRiTEU7o4xHtzdlGJyXLqLA
KkKBluCdZX0lBPzyGflxAS3OydYtHorfmmzQPGgEOVzAgG0GkAwT16N0XyblRujicsjaBH5hSynW
0VvzThv2bM3+efB1KeMpxsJ8dp7AhOKYvZAgeNZ2N0Y+pcwOiW35p1cTGRbRQyBDXWwW5+vmkPjW
oLpY7vsAxRDPZg0y0Jk6T23ztqL++fPhzioBTspZOTEs1YDnUBOsJ/3Lc+J0yrRIfZH7ZHYFrtL+
u2eZL34CqtgoqwsC9H66cv4eob3xZP5+GR1zbdmvoyIbAcPZlzlOi3z0rUbuc/JRwhoLJTcraLZ/
Pq+zguPHeZm2iV2KyRRFzvp+/HJetowN8t0LubcIhNlYmnaZQFeYsZkQUVM573zO37qKvx7t7NHA
PpN0iVPKva9Gg2EH7StVoQcjOWLTBKsavyi+/vkEzbVJ/vpdYCsG7IcCjpEAXI3XZzinBQEesOX2
RuraN3Zjl0+JLuOj2yz+QTZJEcnu3lOzj2jLHv5yhe6fWsc6yKRfoyMCtZWTOaLy8Npv02Rpx9m1
2RHGooOWSly8RwahAYfunYXJeOP+rzM13aC08szfnjh/SFyzEbxG2Uge+cbWxsLbTJOjtppG2kI2
oJ1oyZ9DiVu0W7Oc7C/64oGbM9AUeZCHwqRNghsK+J9f/f/wyXTe/Gmr7ok33OF/zl6GPCghMzil
gPaRrjGbTgQmZ4J34Irt0CUD/HkrD/URsm9EsgVNs5odCIgDVUTVhAxJ6TUe1oH8P7Df0N1acgFq
uOA19fZFIs3+mrwD7bgUdDQ7JQSaeCSqHc2qJ0lP7kkon6hdfPs0HzVvB64to2fS+1vZTCdBfulm
1EoZCuD7m6l0LugNPWJ6JTsEhSVWp4UGrkXw4qiJmybwlgOTh2VDI5xGMbKQSz2d9Y9aT02b1zQt
yWd8KWbrXhBzviGbYh1epOKGv1zv/vy0/v6C+I5DYcBbT9S45509rNOQONIZ15s+AMaHxwaeRydo
ZnqQS7zKYCvjH7+SHBEnt8uYxFvXm9evR4Da0EcvK/Z9HB8NwrtLI/mGeuuSyGFaVYH76c9n+PsH
F1Q6qw3lbrBiI86WNYpSVXNvxD6fy3Zj0v89Js2IFdKkOffnQ/3+mDLHNV1TZ9ADqtU9e0wT6agc
OTtfQZ/pQaN1xrEZpffOBXzzKKT2sTlhA8U1fH0BGXVoFbNvPnduj3sEea92gAvh3/75ZIzf1zHO
hikxuyH4SnyOXh+ngDEBYW9Fo0wG8R4oGXfuVMHEGuoGL/XgUVLw4MPtgR/jf8TCv28IaHtvWbI4
zOvldHUluobjG2gocP2+/hld19hLpjwgiPgDtyP8lB0QDbFD6w6yz7IX+2jUE7EsevO9bEbvvhA5
AZ6Orq6qZbFOwFrid+6A+eZvAuvkA/4KqFnPPiuJrWlanFrDvk5kfdR7ZxvoxK0tTC6u46GVDLpk
+7mEIhGWnTbfSPqxoctIJQr8mkDuGuePManrglCQZRm/IKkzwy4T7Ye5pmfbigwkNf6kUz2X15ou
3isu3j6Bdf9HVw6W3apN+fUrHBt9UM3+yEVN53vC3eBhj3bymLKKhW3n5VE8QE0kC1TwxeqrE0yS
Zz/zHoYexw4JDthj/F6Ru40ejNDr5sG3l+944eqTxYBiB+qB/nORa3wrGJTAdGnfKY/Ox7rUETwW
v5zB2dOJV48f3MzDHjEwuRFLUJ8ElrAo1/RIrOBSS+K3znP9SOLJClVFiPznF8R68ykIfF13eBkN
NFyvLyKeQ/DKjhyYtaQCvVzpO18pq249e8BFHeh/NaWaPhI4n34DeyakSohSNdMIi1FNcsywM3XS
2XvXRlgG7qUiFVK2TGp0fT85eR7aeWJ8n2vDYKn0PngWKYl6TpdKCz62ft4fDOXol5qDtH1pmmdP
6R/cmQMljHHCFqaR8841/710w1hMtINNheDqv2l81qqniHMWhC4vP9YxANy8jLRFTzeEdVrv1Ilv
LNsuNTA7T2Q+K3n59cUlPsitexadfcvcMoAZx1db5RsbXM87R1r/0tkCw5FW4h+xAx76pddHYlot
Wy92eJL65KEwrORjjiUTT/zMbsKZC8gZugvRN3ahyP/5EXrj68tgzwTWCKsRYdnZSYoESHCcY3eR
3kzMpX87ed29bscvpSe+suV1oz8f77zfub41ru5ASTDoPTnu+ZoeKG2YsoxHlm14fS8t6p4Z38Rc
Q2e31PKdMfoDmd9TlMwtxY0NOhmbS0/s4vLOqb/5MCGM48tCEwx23+urnkmhiJTh/R39RkR667kb
rFqk4mQEdzFTfvnzmb/x0XRR463ZEey92eS/Ppwb5EUCQYGbPPfTPmmNOFxI13tnj/jm9TXoZPAk
cXlxS70+TD4QVWPY7bBnj9zjB51Sxoh5ELqxrx3HweLtVDbR7nNXbkfszCHdgBI8l3axLO67a+Rb
7xD1CKdL5Qyz9GyNFEDj0Snr/X42bPx13pqnOfaJuBkyA/kpKZMoSxrJH2BAEjDbV27H/AFABV6M
qvPSIiTMbbxSqZUwqxVCGiFuy+GvP9+bN34m5ZIDymDt/vz2ApIsu4jWt7u9Y2b9XeAY7q6Zvfgi
71dQwv/qib2xxf29TYH+jX0ybQqbdLK1pfbrZ29kQrGkQ8HtwWzKZI/AvqFfrmY1JyG+Ki1sh4pY
BE8Qzl1I/Z2F5o3z9ANkaqxm9Hx/6/qmGqpmp3a7PTp8zHgMPbb20DEkiZ3snx+KDrYNFBMSCsKj
s4UFz9nQdkCc9mKJqxfbmplI1ykzfc3V37t9byxi3D7aIpSI6ODOOxWwmpO8kdy+zNKTKMY5+aFK
gJ/zdYN4OFU25ncCVv98J9+4lgwrXFothmvYAGFe38kk0Wvwjw7Mb3QlYeUwCCAAyox63RzeORSj
IP7Y2ReCSkNf1VvMZVmxXh/ML+xGoqzixtm93u3ceRZgTEllWSKQX3UZuv1gMrkvRBl2lhq1HTtH
dPsLfpHqrvIdHqXMosd4jIe5fDJbBSWrrwu8zXCZMFViw0+f6byvoAjfGXZJWjKPG2oD4UPNKeFG
cglhjwLlMAUZwa3OFwwz8SdD6lq2gEEZ1SdFajy4JN8iNrEnx9zlRjW5WytoU/NTgGmg+u7mNEuS
TcsOJr2YUrzgeFWKPn0cysaYj6TmBc4e9FxlbzW9NU4VDhdtD6dbDdcONlSs6ELO8Z2LBAT+gPS1
Ea5Xj/h8I+2gIC8R7lly5Xu14+H+tJp8J8mR/KC0wMUWV2vNgQxG5BBz0psITNLsqRpcy4YSBT30
iLM+aUNf4nHazUU2J1sylVEK5YrtZBa6AdGv+2EYgyKalDNPUaOgGV5UGuAI+g5Va0Zt5azFVYbo
+hkZHP0SLxZTSJZn039oHQBye7hj+XyLS0V9qFGGiu2sdYF3rxMUkGzlrBJ5pIidMJqSyLrDTYlB
AJQPnioym4N93fOJ2pbx2v7T0a4Vm25w/Mc87cpwKiucY4OdKmOTt+Q2V768o8+7k8ppP8atWX4q
NV+/F7ULW7TKp4M25yWT8OAGFQsu9WE3pV59H3s0Ue0UACBEv71pF2NUBDjdEqlOlprH0GyH57wg
0JCk0ziS+WTtAPr9ZVvauFWAzfgNvbd3h1HfBnZGPkZAXh4V87IBb05snN1OXz2BasiWWFtqTz0v
nescFFk/GzURf0xYDIJK/OVud+sEVb81dFKbCwtvJ/Zm44Lo0fQKLGe5Z7cAyCKLn6bFcpiYGQQq
I46DohcfY8JFwikvJEXF4IUl36hoGDAIFuV07PBukuk4r8GOxc0PZw4urFMxTWa06AWJraKH0YmC
DAFLgfkRb0rGnb2NffseVB5IkpEQ6QUhVDhrQkaxSW7iQul6Hydl+6X28d/VKX6sWXQuuhTRI4Dr
cNoKpo0+Deu91zTOsS+hinl1PB0tPQO0Mns+eit1MqFLZ05r7Apn/lQB5ftUZ/HBc+wPmZw/AUas
t6Me0KiT8aeKwCdkQUXlH5X06p3SOtxCjvYAIio+DbGVRW7S+FsdKSr3oYNNmgdLlLJvuM96/Ntd
0vv3A2q2DTbvSzGDkC8nSBGzBjCIlJCDb4kMSVAF97Ty1Ys9CAmgdISpj2wyE8sMt7arwX9vqDR7
iItNFogHWAIpyAAeno8VwSBYiDv2EXzKWSRypLGfW679dTfylOVzTJBwYRx18iehYKItIv4SGoNo
mu3EC7GNHdOZh0t/HpNx+EyChTd0m9mM7bGIFkC7n4kl3Ol5AoNUgxrY7j3NbL7hB0WsbxWoEqPK
7z3EZo3h+Zea5gosX54PHaVkuKitacD6QJO2A/qIAw9gS1GX0eJX6oFYjenWLHPzATd8kR3JXe23
pHF2pICa5PBlCkrK1NGMS7NB/+rqMfUk/d126y3EDpMe038Du5K4pAImUKCJTrYup4kAKlsV8UtA
c1+GfJshyOG60qNl9qdH5kzVS9+S2kFKxGB8AX/ZR2zRnJugNtvP8DiJbEiHeS+olx782cYMN/B3
Zq2EHSnM7vRD9JNNtX00bWv4SBeOMUg+pMsKLOZJSK2g+5RC1f3WtdBYiknrPnmdmR1yYDol1ntR
7DJgNB+hcMGy8ZpxjNzYqQQAg4GXozQ1sA8EI0SJ6zphTrl3BENZRB4t5C270qAn/h3dzKFqAbJs
RJaopy4eV/ApWBt/ExBTiuFctwnjqRgNIjNLMd6PrCOnJMjTDzokCrKXegm6l8upPYHL5BS9let+
gUqXn+oW6kmZkxyvEjKKbjIfWUijt8tVI3z/0k6RJYNTRH+lZ+4HJUxASJR33YnUVBKDx6H9QuvO
3NI4c24QX3futm6qZbfgrdqNzWRXeyA9yU1ZtspbXXrODS9Rx0vF3aUJ350KkGs3HlmoX3uV9Hf2
0hsPQ8b1/hGrtoCM3PspF1UjY+cCl2x3h+25/eqsO8ywdpeVAdPlGSJeJzs4U7ViNcCiG73dnX4E
tS1qaL+Kue0/EeppbhfP674hDUWZsRBoDVixhsiT0I3Yy0AMf8HjcG7spdNGcieD5GYC70Zqq1tV
81+QY22M962J/LzcWCNhypcGn+UWERyidC1d/R9JneLP9KWMgcA0uvHQGhi5Mwe7b+umybXryOaL
m7hFJCRBJxsTIjXgEJ/SzpGWyUze705zr8dRokl10VecvB1406Ov5ayLSZwdrJZ/u9W15EYGnbvA
knOo/yE5MLGwuvLYFyv3FQtHAe2+GLH2V0TCbWIVEJ6RjKWI8qVFALfwntPGqoeP80zT2vcU0KoE
GEkczwSW92J9ymW6xuyBk/2QYU99shtQUija+ZF4JYt7X/TtswW65oMWLPBi2npMb2a3qo3NAG3v
U4nR9tZ3B/mkt1Nxn6232+xRKju5gT7NVhyowDaHSwMaJEVGemMPXDU0/fOtnmgz2UVoj7QJTuuG
pj0pTlVuHzs9JXMchSwo0qW4p5CeHgOdicwyAtBFX0tLfKtV6fzitbT5sBqlMaJix8DcXLskdpPy
10AZRhKJ6jPT3PjeTtlgbFo5dPOxUspNOXeepAVmDEsvYg8VsWalN2WRN0ZYEUpzq1k5TVz0f9xr
ffAxNRPR69dhMIiXxtfYsSm9ysOuGhFiNLnxZCeALxUQtO8uYa0SHvfU3bFaLC+NmbdED5r1XIR9
7sjvsCEWh3sG9UprWy6Ly5d82OtjYZC1Rsn7sJildh8IndXMc9X3qfW7OxHDPpGd2V4LvJifpzzu
7gzhJzexi0Se6DEfwY4P0HpIV3DnajtAPS0+dllW63e95g+s8Q2+4WMDm/iFitq7Yk8c71oZw0xA
S+DRNxWWZCBs+V8WJF7XcdUme1WW6oAkjlvDZ/PS6u0CfbaXZLc/dJNQ/ofHvlV4G5b0RSRNu2uH
Fu5CrFrrqxMgT7VbyMCQDZrItKY6dIi225OvTrQuE4moQCeKGM2q5ntSlaZbipBxU9t5/GQS/Y2p
tPkADfEK2hBu89VRTUx2H43/k70zWa4cubbsr5TVHGloHN2gJrfv2F0y2MQExghGoAccncOBr68F
ZuYrZeg9pclqqonMJAV5LwGH4/g5e68NuPy2of8DcUmdshJonYRNdGeOkH+hWrNvLFJYbaYGsecG
IirMmY9ehPI7xMIVs+mW86KARjFjuebRTfuTmqZik/Js3pjx2F6q2K9OcVJNK0p9SsCQ8R8t1PcQ
g+iRYBiyuWvlfKhCEFpkWnveTvyH02FN9Sy51r044+MWL9TbBDaZuv4Wjsucqe53CZ3lYxPhHlk3
CQWpyurpBdtwfCU7adz5+M68msj3EC4JWncCh4Jxfqf/V77lpT8vJHUukk1oOBs9J5y1P01QVLI8
7465YaIcjgwCOkohd92A/i8BfbShQh3vifgz9/AMusehgfvijGF8HTo+ZHAjn1DdsFrRmJ5WnPTF
OxQV7xm8eXFIU/9Zw9fc0y5NqAMp5VZlOtVED43JTRrQuME/foyc2fqWmNG4U4Fh7nuCsTdBOjib
Edwe3d6kJ1KHVmE8Td6Z4kK8oLrfAw2rdzxObMBIPOdV7DXkgBVh+FPlg/2ipbBuwzKcUS2U4kni
5l5ratidy951LiPy9izXR6WouEuuIjVl51MXrtq+JdtDa/ljZtRkryVRRLdNxjJIkYHiAtGVZFuT
UwI/JetwoAPWYIBAPFSPH8f3KOhFnL1nE5lqMWwhPPBFtnKFcamnTD/MeDEgnJU7HsUdiFxEwczY
KMj84bYUbvQF+PA6BZ4Boc4n5FkGfXoNyCXa5KUTnLspZfcyk23iks+cO617V0q3hrkxhhZDC+AV
01Sj9yXYuaJGM8AICtw7MtYZyHUnAcKYwcVftW3FsbQgKwt2V41WMoz67LW0hbd3LRrwtNZq3ljz
gisbUkPfh9GSykgzm1Odr1K8CG2Wn8IxNa/oXU9t5utDpDDkBF1+A7m0PncV9P5O1AXD0bGHAtX1
QE+zaeV12cHSRviKvHbFOecdH9QCp3fndSM9tSRnIDdWyPpfwYFD3LL9b9bs/YjauvlKxVp8LToC
H7KuM74Qa27sHDXE295HiD55VCzF1FoMvcMedIYmyoBySB8gkKv0ZDj1KDbKNzv/AEEAL3wlvPrO
GEl8XFWTX9/RVFkAK0GGUHtAOosVxnKzr2WZVQ+oZMsHuC05odUTG2iWjP0Hwarmt6rLErRyJiQ8
2+AXNqgATm6b1Y+TwI3/2lLxcN9SDjmglLEdKMNzjoUMeKOQYvnG25LO3VxYeOBjGpJHGCz2E/Ux
J1P8deIU57r7KHNSabqho4mAg6v8mYuKrkI399FXs8usb/knwxmgmL4HgBl9tfOWQ7iIUqguco66
D8OV+L7sWYU+RAO3eiwazcbQJSSZoWPG+bMT4UhHY9AJyyOxBwqcuiL3IPEG/C1hXEdfXcvlZ0Kp
i3ZDkidkJgihLKPKmfp8gwY5B6uDn5o8BFRaoAMAMparLBVVd05nt+fcaFbKStYj2WcxoaNkzYMG
D8C5i5Hm5yYR4WTsjWkpAXompAQNLdagLDFFtfFauJ1r4tW5S8bMq26N3B7DW6uQ9sZDuhgyYhcP
0rBY3IbGwbAzCgdN5OfFdMFwDSt8oGBIZiTSWO+sWdcrzhP13gnRRToN+SHgjpamADLj6tFFP0aE
ZprR7kFZkHLABMBykBZdoDu7cRcvmju756nt60d3RFHBLWTeuh6jhr8PRij9kFYiuz93qBjUvoRh
k0BC69VP5dGZXQ02KSs3nmElT/mk7D3Wg+qlROX7AL0Ifp2UgfkE4LubDpo2fHQH0hGPga1MviNV
Od86rSJunjfpymD+V+Ow4J7w7NL7TzBlOoKrqIyefz+DO/1IOb2kK75seJk61f1ICdzACYTvlQFG
SIArePzU1uvC5PlZYbUx50NF/+80Yr6B7Fn3VHRuImR2NL2WJkrLbCVjc4GQyaMuOHDzEub9tS4H
M8pJCxiWnJUZ+OtdohyTdChKyMKv7B4mlJ18sTKcMJCPzBMz6fYwloPzUMaBvqBlSp/nORm/jLZQ
v4/B/qNB/TtmAtN3er//1W//J+j37Y/xf51+tN2P6S/AhN9/7A8ZKlQEgpo8bLAC7cLvWtM/gQnu
by7/C9qjJdoAis5/qVCF9RsCAB97t7uEiTlLi/kPFaoTAGBgamfy/xCuhnjp3+ElMP7+a6uXdMll
OoQ2mgahL4A9/bXVazdtxVbhtgdGZamzrlqH/mBct/mZPhSOUBONziMjkOhUm2kyHBUq0IdEGmR2
5WA/KLxbxQEa4TaBJtGAl4FXHjY3zYAB/Gf6AB3PhENTOZi5GtyV2hhx7VmJs8HAEj1pu3JfvUq9
FxYJh/yqJzSH7iMo/Pmha8Mncg1B9FSSKMTaW84MrgWZFVXpfMMEn/NNkAUWgEsU5L3szdcwt8jj
wXdqX6uK+MOuhffyGYnqSX5w9HxjCzBR32LpgPZiWNY1wuYJ4NYIf9LTYcOUtUMJqMq5PcYqY3sQ
6ErfHQU5cB67JSUZXdXnhSLcAg+cn3zj/qdrA6u1CaxGtUeXUPJgz1AypPdSDuisSEGBkcwPdu5I
79yuFsQOWRFl+KKyuYnX1ZIF7JO5ceNJ8pGYaQJsNqE292PXHnGp8+kWOrsV3MRp16U9GUppzaFi
aXrAVUtTG95NR5p6mwVDucERarwNA4HZQZ+VQMkGx7q0QRea+5ER+jPvZzqFNH+t1/YzQTbXJr+t
KBN9F8jC+MluEq61Q4BvnmhyLkmAv5UIaPaf369bvhUrm4Yzvvz2aMMUqlZVOSta93417syWyOaB
9jLeKzlDqOYid8HUb6tZkXzp96l9iQNr4Mw49Hk+Xki4TZJDVFj5fKAybp1d4vq4kB16fNjBIgBx
HHXz0yzqo2oFIyswvEu+dgz6GMaxt7PkFEDOy8V8GPqStRDI/JThVyKXxgZa2HXMnQRkk0f6LcVz
azjFYyLb6bWRCW0+mIVP2ayCHTwvJtFN2Tinyh3ic9SI5IXEHJK+w8k9G5KbHXi0owE4Yc9Vi96C
CG9j6852V+1ddKCr3G1AQ8I/9hYM6/w2VyNdGdGF+6KwnZ8j53C55nhY1ivLmRmbxnaW5rswM/vk
ljA1flcImIDoMUw69lo4iju8Ui2x4Ns+zrtrVBLEnM6cUEjNTTdzb0Y3Jf08/InxGOytPrTwUCfO
M66FfF8G2qjx34G42mgOaME+t8zusa/Fq9sXkN1c86UK9IQ1TTVjssqG2Zi3Ki9uyjiae2xonrdL
A2JKUS9IWuI5Bzj60nCjhqAFGVbU9wTlYHI0HG83TlN576bCOg1xFa7AXzHZoB1wACjZb9ElzKdE
NBSIOW2h9Vi4zhdtefj30OhQmbSwgEc9DitB+BCpTFXKohqjfFf1Sm/RbNJJMjE8roexM8AoOt3N
4ITZnQ6c/FwZo3vfuzGo0ET1/EO/I1srLgusmYERiksRkje9QX/vvyoKlRuSj+LvU5tlP6A9HduJ
Wz9LJi4VkRAjJMCaUdOUOV61NvkZ5gYhD72R4es5IE5uHhuYSRndPCvZcmAGcm3k1fxFu5OJSbpJ
bpUjW4zmsn42PHfa2w0V29aZaDgDNKIjta1wORGRUvRww5IKn+BQQcajpzZaFNejuVGeN53HSNYP
iZ7JCufvdwhDm3V2lGXtdxtvjtvTEAGTNiZvmFf5GORgsSumGiuzoWcC4Jz+i0/QE6kzdvKE5dCc
md6AlrLbMjurPsuntWoX33FmM6BzPEnOcaj0PjHjCgNjiQPJbLDhTjZld+Pf1tARnnIKGupHmwZv
OOqMsV1V9JLp09zet0EOYLfCu1DjaHqwPcWu1HlD9Pa5szR5Tx9al/mJQNxuw3kWAdbnUySRGjxq
Qpqe25FAW88w2VbhSJAz7k+8Ydraq/aadPLFI2wLHofRvlru8kF9Qt+J0o1vUqh8vhnNUTGaGY2w
uuW1Pd3CPqynDQlH6GgH0p9bRHjnzxrgP+XS35VLDDHQH/zP5dJNXfXvFQoGHiS4V8eP//O/UZEt
P/NHrWSZ4jcaPh7SJAocRq/Mpf+olSzLIz4Fs6CDEAsnyRLC8P+iHkz8jCZVFk0AdKLM/v8oloSg
jmJYjgKChpdH1f/vFEviUyX4D3NxdG/4R5f4FtQsNoCTX9QuEgQfMexTcudLGVrU7iWkwzGx3bXb
ePl08OvcqWDqxQkjwtSRNzHtxnUBNeyji4CMr3DBsnsGZtLoYzI34PTqzve+z60NYr9KA6QDTIAv
NQDN4iWd8XTU3Wx+ZE6s2UaHXA909ix/2oBAVs6eHmz9xe97nyleEyp1gnfbjjet9Kpt0ucA4yeQ
j0QMePmNxPW0Ju8SD8dkXMxhkoQHyQBpfVbN9gYM3FeFLnxrA2c8CqXNaT1RWv1A1jxAIHVg/zLa
S8h4HyvogcJL0ptC1eNxKAafUcNAkVKXmDTatNIPqjH2djbYm9oOX8ZKO/vEKJB1lnG9fCsA0C/a
7eTaGRzg1KQfJaGVgjGCwmxxFM3x022GuiDlfuXTv+npJzLHt4EMdmsCssDOsUWBS12Z82ABPkzd
E23p7r6TTMrOIxyy71yR6ZzjKI/aJ7RG87FvRWeIs9/GOt9mrbXC6OhpuW8DmRRbGw/CTZ2JIhXF
gqVEH1HtYIiXCv+2YHDpHLJUJ3WjIbVLhp5nBjYVQN+11dEi0WRL5UMGjDKMW22ro1XCU1fngjFH
iqGF91sY5Mc4MHxfbiRCwDcFV+zadfQhIOAa+iOsfJn9DJGy/GTKz5vxFsuNW1qPuIetndenPs0m
lHv+K7IAKM5NGaoLPZn85EHk5kIxw0hAvw7ZMQUP6mzbIn8gqbLdfh5yOSOOd8gx1GpxGrMs4aNu
yCtmCGNb1inI6EggM2EQlab5Pqd7bqVSX3tvEHSGafNt0rBNCO1u+vgUBD2JxcLhaq/tLIgOZmVS
aBfO5B5LDg27OZy799qWxXe7bxiThnnngf5omN70QRRA8e2zlhiCLrROHYmUtLjigm4zSp6DqIav
SSbok821cO8NrqALW13GX+NWmGd4IqSradfYK4deh8/H3RSeQ5QnDrCHqu6tBYcbZHc0AXxkXQGV
RG6b+XnB0NNotjuAsszCjmo03dsUZgMg3r4QFy/I5lMVzeAgM3PaYA545zsSsWHCVR8K5lAJ0pDN
ILwLgqfuNdF59DVp0f9ST6o9ZFOxxepTnQbLl1/ot966le8+LCv7LrI6k/xjBzhPY93MGXTIJIX7
ETjS3QWpRB0iHGn+RJZi3tVkJ7/GjKrPbSPGS00ddugKZBlT6sX7LFMEoKYwjyC7w1yBHLKXXhs+
ItN2Vx4260uQ+8+zbd5VTkYqCbzxSz4r9wLd3jjQoR5f3KZeqrxcj9DnHfuNlCWNpoWw+Hg1FqZz
9WwxbK2qc34aMIzKdc/V2OVz1h8hwXxHfBcS2xKBADGGqQlXufLEo3RGnQA2V/V3EUzxE/zq2GQy
0rrfADKn+4oKnN8hjWMR0DV2HIlHbmCaNZpw2nMITQRTZtk2UsQlOlUcHLTrERUvKSJWA8wsWkix
xUIf+vRskbP9xPseOCbX54neNDqMDIa5PV3CEdaSm0fhgQBZCZTBafxTgI4lXIWiCD60VyX3YRGk
gOHq6oNcz3BTmBMHKFkuKpCpFstcwTpGXnbtyzY4Et6j0TFP7qNlwLVaWeNkY5l2ovXYz1+IlrGI
LHUJCGFUCk6kUOzsg+l8rYsYblAykAc0WiJDlOG5bzi9ww2enPlao7ihom7HF7jQzAecrL6xC5l3
K+Xr77TRiSmwnf5nDGt4zZEC6VORYFAQtvNqk8dxN1tpeKd0MN9PlVvvrCLu7+22lWd4K+ajbwHv
WQMDyptdXXfxtqsb8z2QQ7sReqivzJWhQ01jQoJPNhgrQQ7mT4Cz5qFSlf/mIJsgjpeltZ3ZctYJ
nmiybtHpb6qanT8YoWT7gfJubCK71jyRzk7Elv0lbkJ5DkY3OdVhK+8bC+Zs35iKKxsm0w9EXP2j
S0gDYz4OfXQ6p4JURgsEd6QbHI2Wso9Yv6YB1yEhiCUhGpYmPh0vZn3DcSpbG07TXuaqHh8KDvTD
lIc3DUkotB2nNImODhjIm8TEYcrZI6MTruynrCvkjS+D6dEcrQ78BYehqwh1f1BBr4+1jlJ6DIg7
1ipJzTtCVPOXEpzYSxxU7T1E4uhZ5lF6HnRDzsUYzF8YmE+LJSBDSa2mbYTsBuV01SUbwV9bM6ey
zf7IuIEaNPaHL0KY5rRKUctvjBRiseeSm8hU1rxvOh/Srh9E9akaDRDvZT6ieMumMoc/gVggqIXD
dezHV6F9d+Uqck8mXRICRHTHfLJSy/sO88A01nWEbinuSXP0MjN8mWaXsA0x86IPKnMoVl3cpTsv
zb2Ln0r5hCoMPYqB9DonriVIxSYY9WVo6naHhYAp8H+K489q9u+KY6LL8Jz8z8Xx0kt8o632l+r4
9x/6s5No/Ra4eGOh21o+zIbFtf5nJzH8zUfSj0+Xzv9SA1NT/1kduyQIuov9GlM0Bs1Fy/lndWz+
/wSh/SJQFQE+RXonlMa0JgPvVzethZRamWZMb4Z5WrrOq9i9c1rEEnMx/h0A8xct/ednIWzHvA7c
AcPWL2pfOoqEoAZWdfQRlNzOarJuMzoAzxNX4NI0/65jYvk84CxwDJeTBx3bX5qkNIpsNg6TzyuB
la1GUzIoIFHNuu31ogboI8/ZOhoCEoEF9tM/rIP/RsP9a4eWD6dF6wk6tAA/rV89E41hdrQq24od
kcCNskBACplfBZeJmcxV4wQiGNf8O5PIf3OJXa6WwxhtWWu/SoCZgWTtGPjlETDLohxI+g9VlaDs
whQlQWxO//YH4ngzTT6O1Ys43v1F4JyZBpxyOr6HxIjqsx9IZIy0Nrdl4BhfnUh5b//6si6t/H8U
OQOFZdyOkQlXFReX49xfO98Thq85jrTC8KUbxkteRODyPPOaWpHmwyBmGlLrNoD0e/Sn3Lo2yq2e
yWD3x3XioVNlS+/8K0lw9rBqlTuQ2LS0ES0d6tfJDv5mFTBW/+fvyzmCZx89IyOFX2XnVRkChyr7
4eBiQBRPBvCs6NzFBQLtmMzKDcR9azzRrpqKePWZMM0zOF2NELqNbSaed/pUsZSTJJfZ6VpvxYyV
tdSh3DiXc2DdagJBkpMybTJyP9OqkVByHZrcRT052B3DTqNNAYdP9hzspKutW6P1jXY7+CbYGGPS
V1CP+j5KYcqt5haB27eA9hejtXbWagsxkGDm1nH1vccu4W1SaFnhIQMPigUJVt+1QSXNkouyhlxO
v5vA0TCITSzrB6tUo6WwqPH0TS9CJR50NY2XykyIUvfcjI49MxjSuJeNoOXFGa80ioV7Y+yZy+dN
GyBtaOTbgPbsbW5N5+ipnGRprZR8C0pH3ZuArcp12JBtgxwmC7ekgLjvQWvqK1pCpuCliuSbk/T6
ajSG9eT2izJoTgkNB31THasp1G8eOshhTSeCs1oXufo6iJa/lKY0dWDR8YEEIiPAQVDSbgZqpPdi
4DoGs+K6tcJ6GkJu2hw04TOqWfcdQbK+pjFoqcYZXWcH2I3o71CTnL36hDT+vlaTLGbgmzhY2W/S
ZQrOnJHZJRYZ0iQmhUGnGxVjeqOd8uQUovgpj3ljNLABPNxTw7ZnvviSqDF8DiT76YZ6HwArljDW
iao88V53gXxLYsnDz8HzEsJSJQO5BDHLfJ2VwYyEZLxY18DiJ26/I2us8rQZEG95NpeUpxtxlWYW
sf49FlwNLTcpTCw0nDRMmKDK5W9dmGAUmQABP6+/0L1LmyAQ2wSxB35SI+nWTRWat5//po8iggkm
M2PfmBPk5Uo+4GdRmzEOw93QdCxgDu20EfscVTGK9ig6W52CCae6cUAIqYOQFCxKZSZIgUOvuGcS
k92iy+xIMwjK3NaPNFTQGCPV1ZHaFRwOl7yr5fhKLJF5HK3ehw8XE+yXnLoO5cp+Mods3DRo8aKr
lJULK7V2Xcb/ydBHF3sOpzdYCuOHQouv1kBn5/R+nAx7fOm4/AmR5ZXad7SDMdma5JgYgaK0Y9xM
qaZcrnP3JJ0o2eoUjU1UhYgBHbwYS19pdBqSQYLMuXWDGrmcGg9ROOkzAjL95JUDMhgZpdx2YyLI
PffWnZ9Yr51pNxuZTN6KqCeLEJ2kv45J0yHnYg74tRc57aPE6ejXx2Gqz8o30K4FdUz716QvszLr
+TZoh/iDRG7rlkGEf0J34d1KswrRJswC3Wc1ltxwvSCJZ3BP+8UI9RGmCbr8zoDcumFxhyeBgQHq
jVAdPS/fj54dVAYVszrxhVwIlIdt815ZPuF4BRbDQ4M9RPEPHRZdayqW1JRj2Uos/suKfVlfec2x
lu0IlNPBMyLe0mgd91PXyzeXOcnzEhoG+TEOyqWyVvrKPAZ5f0JtgUBKvsFDh7qn8vFdExr/nLke
G2Zt5094b7MXkLo8WAyGnGNkduk+9R3nGMgQm2gYwofkNVo/eS643hS1UcefEe8sB5PMyS1mKvS5
k9bXsjWM+TgnYgiOTtnOzri2ZMcpuMU/cvJsx/lGcoXrbXHRnIpQRpfRkPF9i6KGnlL4hBq4eS76
9n0q9bL7p9YzSRJwNgeukw4z9nmU/ekprKX9dTCiYVwXyWjeyHD0H2ms5j5Wg/EIDZBoNGdsSGRM
LP8soroNgMPa1Z0ekDzvZmE/l0kgN7XuMFdAR8RSMTHTWBmFcNWqdKLqtvIN8a2wHP695I3VfoHD
akffwmBMse83Mqp3M0mbxcqO8wEEQpcbl7JIBy5dSczDzCn/FVNCfUANEyB0dkxSVvt071skn60R
4HdvhNBQi8jeRTYJr2KdW4rb2oQINFOyWNksRBG3t8w7J87uWXBr6InXQkkyz8YovO6DhNDw4kac
e5iKzSwaxiT62sVmsOTXLEuJ0RVTuaS2bh178Qo20EI6Alj4Pcrm23g9sCbIog6zhgIt86ocMr4T
0axYsyReZobiNMVW2gET5hUyLZnx5ez3rWoPU6LYB5Ubk78K4Ce4hIxc1xlhBThAeJmUa8dH9iQd
Pt5zxwbrxgLQrVs+2Ilm8T4zkhrWn1ugn6Az3frQf1n6kCyT+36sgmo1yFFcxmFg/F64UAfb3ug+
KgewISPHlhVhz437Tq4NQih8H8BSmReB1WzoMSwRMT4Vw8QRZf/717Iqt8X9kiCLPEWGwevLR/52
bgpwp2pC9durRY1Fb2NrzUU1nZhbchimqUTA6g3ISgRZZhvWbyNBssmd7Sq+dVouJMVRzXxkxXDJ
v4pGFh1vC68n1HZVJPEyJxwDU/k+QjXhnYa8o6mVNu70GBm1++YlFhvr1BrZZZStJtCJDigBkYMV
P43+XJP9ZhbeRcxO0LEv+tZjURvmSQ6J8bNv0UMmw4geiu9MlYNfKny29ciyCIqWN3kT9taT0y5U
x3hB+e1aX+SLZC5drmgD0pn8Gw7+60EGKBSRG/fVY7Tc0Yx24Dvc14UW3XEbDatZFOb2bELOpPdN
YhgG+shcUgKEK7hOlJaPnoNM9lF5hIkRnTYmcRJcixybJa8qGc4OuaRxM6WLXcyIrS9ZQLUMn3Xs
3ZVvUW4UZu1uUyzV+ZrE5XTTj+gYRw+jUMnwc8Ryn5inHP/crVP2ChV3gveFKOaNZo5yKhC533D7
m2uNmPyYq8R4RYOIJLDHEKvIbViLKSgPMRig1aSJGyuG0eXvwG9UoYJi2hqewcZG6LedB4wx6cYh
tWVnmbG1aWerXLVaN8da9SS894V1rQRbDJ1s0pozxo9gN6lIeq/MfxqpoDGq6uiAlavEMtgArOQJ
HEk3qH5WLerwAnCfBm/CuqYwGBrzDseGeccUWW0Qka+9bioPGkPelto4etTEMuwyXqIbxrKEGAuk
/2YvbjT48AfuNu/lShcn3nzlXpQ5rS3DoUELGy0Oi5sBnA74pmS6MycZf5GGN7y1te3c1qRx1Gsn
NikgNXjjsEB/p+6d0rpS+VVbmOPmT/qY7sn5fYhf2kz50Ur4pHAHByObfzA94oaIgUd4h2V4TDYI
woqaQttQEvtWpLrVRIQaOwgSYKSigI73fp/VZ2TrBgL6qZE3XV6wSMuE3Sb1sJWsZxDt9Ig1HcP7
KR8zlAqU3Zt/fYxaTkn/MBID8s85isAVGgtM6PFe//UUNSsAvbzx5EG6n0U/gyObREJW4r/+nH86
/fBB4DvoZXDsx878y/EwjJJ+yOpeHgqsCOlq8H3rqelao0CdY9VnTyxHl8/t8F9/7tJK+OXvW3Cp
DA85mUIM+uWUyJG8oCmLalxnhQeuk6yNstOF3o1+wv5Vl9V0BbfPXkz/kSr3X386fZt/+vRF58VI
1ONLIPb6i3976pAhj5ZXH0gm5QAyBy2+q2XXzXykEQR8M75ZmbLlWLJU3lD/2Nw/v8J/xtl/07Gj
0bIwOP7njt2xKFKQpd0/duz++KE/EZQ+DTbfhmTohp8tO37fHx270CIsibeAA1En/INO+WfHzub/
ogdCm8/z+RKCR+FP8Z/3W+ghC8QH7kF2gGP778yz6WH9urzA+yHXZXq+dO4we/91eaVeKrLC6pKT
biyw2qOsKYAzDASy8ckX5yAgMMxm4aPMG3xKi28/WpuKF90m7vq6ObRWCRqHwAjvNM++iLZMhGc4
3qapHwbktGJvMekyHvIwa18aVOTuGu8Kij5OiIyzFKO4S4HIo1kVEc7e1VCas+CYNXiXMCOOYEWW
NGWxNfcC3Ruo3LlgHLxVC/Nw7Yw1VtMukmolAqP5FmaT/z0olllDEOJPmJm2rRLCyDt421g5N1Y8
CvsS2iTYdWHp3YwC4XWphmuHr3Dnd6BQgI8rk1xVz0ofAWlPDzox+9s2tstrScIAKae6Nmi6Bzp2
V5VrxoTQZvJauBL+fjw2lD71dIgBs51s2TKlSoK9Tm3mJEmd1ju3IuDD7hJKmh60trXRpDPvBAP8
l4JkPzQDbfHIMNnbhon4GmNHunPrKdzgc3XuB+JJmbFPYpNY9j35Bd0GB6e/NZgKrrQ0invHN4pb
pxqvrklEtlsUePWk9pPvuHPkXgClXLfoss9WWWLH8XRzVa3jc9mTNL5BMi9ux6Ry+G7DPFzIjG0I
mbuNZFv+zJQX7hRwtx0auoDMGL+72l743Y0iolzA3+INIybT6/gPLAovoSCdsCVfcS0L96RGGis+
/tHHrO2cq0OL7OxQ7dzjXcWcmCffMuCP727tjQT06TPnOpKDFyEpokCxaj1pPKhal48Ilsp1lRfd
rU0du+6XwNYozB/aIusp8cnHSnliv+R6jhCPASufcBBvJHCAreXyTcmIiDemiuKnOfBRvlO4UONl
VQ1kvsoyJuVSWmcnacwTJ/iPgn9/FxMx+uCT3ZMw4ovCq0+t/BAgs6bDRYrManHK34qlVMikMvY5
dqT9bAzV1bRZ0b439Bc7F2KJNVnJ1iFCmWV/U4MnfVOtjyLR6PsE9UJibfDEMghbyoRNgyRyP2RR
vDOa4UyTtjvRw7tRquOsNXsVJkxKNOal2jg4FWInhKW47ZBtcCCPjH7tzf2zYRS7pJuvcDjMXcRx
TlHodk31Oo0khCZOe2f0WHxo5WzCQlytxiy2VSC/d9L3j1Q1z9NCbirs7mvpt8UOsXtPNEpqn13B
OLBa7tT0YcSc2WoLINQ8mC+CsAfo/mF0kKMybsaAEPNokPEmM8Ubm2F3Z8tS74yurYHexu5xajrx
LLAX4ptHylZGoKzot/NYGScf8uEKj8cbFrWGLmNJcDF2YUwtp7lPL33ZE9/cwxWs0tsqIsuV3jIt
SlECQczK7TjKdEfho9ciz7prEDnFA1V6fITjhJF7zkkToq34UOpi3ld9Dk1BynY/E6h7I1qFvccZ
EQRSS2+YGI4Po+ifB2siQamZyDYXVlLxgNWdGM1HVLmiILrRau3sfopGp7xgMLhldvytbijJPW9G
XepMsKPtiqCbII3uJydI79yke6+EFEcXwelqTq139LUIXhJyE7925BzssSTLTSsL+xwXVbkDIsWS
NuNirUpR4O9OivuJbXeVaPY7sMkYnfxq+joPIYLRiP1ZDazBdNLTV/pANFHL1GwecWg+VqaH+Tao
yrsa+wwIhrAY5H1MrXF05MigWdrClxxwlImBJquPMmdgvkICDnZSVuG1z/yfsjYJ0rQxeIxJUGBg
DCyCUzC7k4XqVSVBoCItB/Tg9eBm2GJTz9iRUznvArsvdxMtKx7xivmyHp6Tgra8OEyq6slVMckJ
IJGi+Z4bWY1eQmRwRWjL2N5d3tLbWlGYBYd8QLZx0TQqHzQv7EeHPGwfCSRL79j2yn3t0F+ckrmc
yHoG2fCtZ/WnSKEaArstI/IF5yPpXxtIFaRbW2Z7quEmn5opWuJts4pE+qY/TqkT3xHeVTxiKiaw
uFWgNZKcOTtp6GPyJhH3MqwX5YHgh+Sdcpa0Cvz/cM3iqReXmFYO42khMerPI3hUJUmRH50ldRkK
hfEg2dp/woo3ASQLtEi96qjbtd2gG8Gy0q5mq5Ix3YHB0RS98/Bi4jZ7b1ozfeOdHBPNWg43CMDL
Ozp24U9TJwPEhSJyrgaGmhcjL+bb0vSPvuUVDNUd78OtQkbmaeKQ3jy4quCgI9KjW6tjyW677hCw
Txv6DgHBoBFXEbxcEjwPpHFe6KEUH0Zmkv5dDjYMGijy4wNKae+Z90i4lcgIdsM02bQtUTxFEFyt
JP6/7J1Zc9vIlq3/yo1+x4nEDETc7gcSHERRAyVZsvyCkCwbSIwJIDH++v6gOud22be7enjuqIhT
Pi5bJEFkYufea33rqpXT9D2XMnTYjJL4GYbKsELABHflnBr3MqPrurFogb3CZ8hv7UIlCXexdvyt
FZLUwTEv/2C8nj+oEWdWVyCOlksVX+UcHSNSG1isqtbN3dIgXd8iUw/IcAbXUe5mK6ThRdvr1R3n
8UccpM23wMFESCJGCCkoCcmBn5rZOLVmNtyDdEH7z6DE+O6IGWQvZkCgbNh9j72PN/7oG6P6FiZT
FWznJe6vlKntMcpk1swwTMvspWGc7myC2tYoLWJm78ZkE9ytVXHFmsM+1FtCIbNzJhKD8pT8M78V
r3GoY2dXSZFPkUkMzKEvHPkQh0ocGrhG26rvK7iugYPswE6zAEcEOSF2bvnnedTNyUy1F3mEPxGQ
0ndRwcx44xcKuW/QkuEs3AZlgKV3cGPQqcNNuph9p6MOr8q5MBDpQpCBUDb5mbrqfDLImVtU7Sth
TNrfyISU3C1csfprPluKKDRsaA1e92b5ASTHvonFqCLb8t5J+Qi/+GmFcDjp6r2dFgPS88yPy808
5LWxhWrDjuhOs7iSDF5vwsXxvw30mI4qVfCprMRlyDbbs/3uj216rWPTfg51Co+fcc2E/q3lWFyR
/3PEAsUv86XPgyP2zfkhyGPa6pOVmm9DOGBQrVz1LaGxfHFDHVbbbLLEa79QQO4SMfbcS6LrN0Hl
mx9hg2JkF5deYpyCOou/ghWpvsyL9jo0Sel03Xf9fBgyw8Ct23ZE1AAYucqS/B4povzaVP5tQv+h
TktCtANjNwYwZqtZhxdHM7TofSeJkrD0ZeSGyrrD5mhsAjPxD41HYbEh8Np5B5hrgYfD+7KGEiAV
y8oRroBp2JhkzE4KPLxJctvRTNqN8KiuLBRHh8VxNdJ1u9j3QvRnk7hgr2/LH2lm9eCbes+HhwRH
mD4Onc3cozGbuH787jl1vB9qASeFb3Pptqp1+pvUmpArUmZBKIldoTayRXgH8sXJPsBkI3BCHl5t
lJEWbC022kmYTi8F7YYn6Yr0IKRrcD6I+3OraEBzg3vBNbk94TYR1IglCcIBHIFuTyunPwYybEA/
0RD+2tGiazdpPKL3TqWr451SlrdD5rJc54apTiPTtTOfsDhbeCK+x4vU+1JqDfOjGfZJaFdXTZHY
kZUvL2rGR7A1LbNl5tn493bTGD9MIdur/z0l/1d0LTbmTpQg//Ep+enH9PbLEfnvf+PvR+TQ5rC7
pqaa68HW/3S6/UPyLbw1pgHRBY+Z1Z7G6fnvR2Tb42BNbIFvQe0WSDL+7YhsuX8LUA+gzSZYBnmI
+G/540znE5H3pwYQI3cX8zHHeMeEp8hr/XpGFtowhqaumfI1VvsyGA5O4GL+HkxWQSa50exSA0ni
VNYQNcbgpmN+9xVQRfOoauOxEW136gmbY7/2lxuwatDNY9uLD0Odpfd91RhvtLLqTYhTl/i/IPbT
jetaSXePcnS2L44jc6vcGFVh+pyD28C6xT0jagBmnFyYx+dLbWN50krdBKoVPlRw0EBoOUlS0aDo
iCDIHJhRiQBSoca2bb4UQQU5FoNuWZinNJw8a4MML9Q7P4UGsk+xmqqTdhLJgQU6dyDEZrJmBB+y
RJ998uvZenbmpEM0sdRm7W41AUq43Swf8W8va1fESM6lnz3FswHzgdlcPjQRA9D6Lavi4CMhmNSP
8EpNEB3atEYYuAWiIQWujzZTkeYtdId8qq3rQNhsSL0HfCfOTMxlo/bhxQ0CEexuqbM166zOjsjK
mS1XUnOkq2x95KgeAKsK3FdASzyC7SSFJSUfE6A6fFl9dtNYVX3MrPE5q6V9yPTIDkW22jEfEwBS
TZmkL3KSY7KbB3nFKOamdtrrlGnKS5dwqu2Ljg4v/u9NNYQ0MhLvu57ilY01vi6Z220tAEP5REDp
lD+TFsGDLDQzZNPOeyJRZNtx3j8uQc8DbDFgP3BJDSIfN66vxgMDWZ/quDpYYfgwLPLZK6yfdSH1
9UJczYbInNslbXxcw/q1LrtTOdTVMddSRb60o2kprU03k0eoFDmoSK7viXTD/GXlz0oYMupbo97l
5fCD3EsPz9gS349hjRBETAYZiCQidXDy8rnPD87gEPW1DHcWBihCB4dpm5jkBTpszmcqmvYmoI+x
gxEmrvxayn01AWChj53iG2+Cd9lbOLkHV75TbE2nCU3nTjWu8ZCoee3oJD9iO67vXAM9qJYcSHB9
H1BXQeaRSh6r3PMAKwhoGvXs4v9z8fsFLnQp+r37FtfEPildB3yqER4Gb/yBcLq80inxpjF7xybH
6g4JYpLvtU0KBwKeEok7g/xQlB0uIDLSuoojrbsA7ACgXexMg1NkYE1Ppgs3HwH9s1HEVwvuvU3Z
qWbjauPFRZ2/sfMpO6WNG24NRVjkaqH91i/+NjM1suqRPAHCM+DV9bPIzxjaOcMzMEQQ0QZNBMTb
+FkTEQhOhLY34nY/ACXZZgNYMya4xtHKRf8wmwPT2cLJ1T2td8wiTdzKWwUBdW/XMgCHEfvd1mTc
9dR5pd5qYS7JARG0daoIV0DBZANGirix8mUTj/p7XzTM4OJhuM+wWCAN4LZIiPs0N8E0zR8wuYTY
Jb4zn1BYV0dLUyeHB82tNa3OMozqqO5cknK7Uf80m2YkXgJf2t6b+j79OWcdBSXzv5X2Jho13lqw
HV87mgWDxemNIx+Vqrim7iwPowxAPzeGdUA9wCfLR1RWmXcgFJVdYqKqryEZ7VyoFUhJlrXL3di7
OFwYQcJzgj2xfKU9GT6jYp1ui8x4Y0m9wOci4wA6CBMffdJG49ximc8jTG8ZzkD5gWK9jaSl5HPZ
ZkxYPOXKG8D48AvLfrEjRlTmPXO6L01h5eDCyLU6K6eoT2ao97ZvD+ehl+oBVILxyEDIf7MYmkak
kDJuKUMaVj1YGwY3k4VRpq6m/VzM4saL53qnY91Fidb6tugIBebnVHsGkfOhXVdt7sTeBReBvY8b
5ohGU6SMbYf7InXkTs7dcTRFam1ijYGiCZZgMxOodRnt+ZVAMffoDGX4vbW6iz856bjpcns42oH+
6s1ZuZECl6FlD1dOYRJu3ONv2mhT6Z9xzaQ8M7RxDSg2ZdrWm4zxkE+i3QHFx/xuH2Oi2HCGupV4
Cu8WA8r8LCnnqrlHMlBNWCc6xl8DKO9VQ5Qc0tCZNgJI3TbM1uO+CY13ZQUGtr7h8OZvF3vmfITM
civQeVzp3MG0MGJhRr720AeLtcmDOofxWUJE6Ovw2EzTAYAwp3k6d9vanARdtbD8Pqt62Im18dab
hhEBKWqirKyZeYWB1T2FMkNlTxxm1KydGaRXV6ERJpvWUD9JsfmCQqXeLeHY70Wn5JaMRuRRDors
tJrSPUEQ08nIm48BG2Gh4/7anABjLyPHJ45U1d2qtj5bE19sJeZsP0otrhZkjUeDdIZNo2jyDFWF
UTih2WsEfOY+z5A8AP64cxvv27KgIqqoddE16W8kHufXLpz5jTnT24vtcd7gEDfP3ANotyQIojHP
f/ZeEe4ntXxj8IN7ltxJGgLgl27i2oytDW51rl6YvJfKHAl11e19jGNtC56zo18VDDzcLbXxRPIK
r+WnCpsf5H8We5KMps0wOS9ly2GlzDu0JAE/ammddqP6Sf9se8fagr/IIzz3nBC7Mb2Hn5FdQqtW
VyKwljNqOi6Dn3/ry1jQZGV1sUsNL2SR8sDQ9qOUeGiHBA9bNgXs654s3q0KIFBpEbvXO6W3zwZ/
3lahUe2ZfJVny7TWILbFIRR7fu/SeGZk4PmbMeQ94LfKdwIz7jPapQVUZ0ePqFpQU5BLjTWLC6Z4
+4POs1eWfa5vVlnEU+OvJGhbzI9wLK88kFhbowiTS08r4Z7TRvbqZ94j88Bxi3nj1mHkfER+ltjb
Kc3UDhICFzoFhvsldHOalq4HP0QHO2eJPTINEPLzTQ/jHGHvQ+zvkb2N3s2i1zJVbjTzPUNHMOu7
gaHGUUDMJZrcDb5h4uFEKqbvmYr1HaMLI9sNOJiPmdI2I21vYLSQ4Z1zhCLfxSWjOrSGEPGX63JH
iPKhCUL3YQSeKLbsmgYlhqWIrXW64mfX2lgLWagJ3ynTzhoIVesd6HW7LJnK0/Wx7cKFXG7cmdGc
2I/kNwA91OJMGyv72jGueq8S8HVjGi9RVqfJtknsD5pA7mOF5Pm7mWRGCRnBAw9ryH66UmMNLlDm
+EoYcszTd4Hnh85M3z0uY9tcxWyecLYNeCqVd09D+xpml/aZ21v1dDSNBVMW42r/I058FHxW5zPc
d+WLy+GUrG3pRm05FjuwlmqrarUUUdv4JRRKu36gyd7K7cyluJ1yK0CVEDPY8rXqE47sgS6jYerm
uyqQxSEx24zW+Kj3po/PQvG+Drr1jEPmZnF5aPxCvrCb5S884vqvBbbxxzzT+N0yX14Jd6TijRvv
1FQDVlAJmJege28kAcmS2UyKL+34cEnbU2hYLIgUFN1OyYLpEN2LbVpOMJgmp1IoBhL84qJrL5pc
thcRLP0HmpzhGHR1eF1nmb6jo9J+qW23zVl/daYjIDwAr1xGvlRXy3PY4rKCouV241NissNuOSf1
YUQyt003gSjpYScz1sN1GDhluQuYwX0Z8aV6X5PckEs0BHhgNgFkYxZiO2lENd6U7Jzc8W495i20
4UfPoFjpH8kcQiTapZVxU1STfI1LknpAFJZOBEO5uKJHhWgLPlSwcZzcCDZdOZY0LKf4MvBHj1PJ
9koz4HEsqY27qunfq5KkECP1SV3RS3LdVpSkRTU06EHKoXwyUwxr6DStw4gmk9zFrtnPDACiOgFE
rIylgA3SYqYbkRleEKOBsnOBgaMrkfluyEwgB9UCU8DKKhp4U3JvoaCkVeRnbX03JenkRjTzBEZe
2F2oI+VHqdJw7rCe0eDEaEe5KQP4drnfjM5jreFRIqLq5zrw2+6YhWkZAgGah+WaqChisbvM3BWL
qtqIwDv20Sko4ER1nn3Uqee+WAFt8WiBAO0f25y1+I4QP46EwdDnLIeBJjq3cJvtrCCBgmr1SEFy
wx/ZfXRbnwdtqGOPffJhajRnARPHLSxg+PuaDmYztuqKFnUW9dqWZ5XBqYit3v9ZtrXzXdBmXjDq
tjo7TKV66vIwlq9k0QAYA211o1mPm4CwWDfyuiD4AcEjOXp9SQluaqx1jWzxF2bAlqXH7rwLSa/Y
d1a3vAkK6+sRiTlTo+K29mlakg/Qnxar0RelpMI06ZQP42i6p4WO8daCpEdOu4mwyUxL4jVXmFdN
Z3srGnyNUz6YIGay+tZxmhLTnOl86agid3oiX3ipzGxHtsFanDfzbrKAW/eFf2XgGIxqDu4PJE6E
+zYX1pvrTM6xzFu1iXN2pqLGF+jLOj3IxB6itl6VhJKu3ybv0vG9CI2BsELnzp7S8ENU7R0tdCaa
WtBMtKz52JhABPO+T87gvQPkY4irdtw3zV6Fk7trZoA1FTelIJ9PpmQflOmOGVvKacTIv3XU9OSx
+eXRkMRRkDw2bqvRq7AqruNqQxgzaSi2vcePVm6q0DfutL3M9CnTI5jY4oZRJ7jHpLKBMJNhs06B
0h9Kec5NHEvJRtswtSDM28m7FTaOY24u0mK7tEj721wPPHTG+ZJqEd4OU4IdupLeMacDSc4ZwlXR
1fVJCvM+wP+86TocKAjckrfOrzK8fyDMKOya4DYH9LmdSpHvzIIpTlaE9muCFmJjj6vwusRQ8Gqo
7rWxfWZeQ3BwMA1gCVXDB2PSjrafgMVXMkUzOXgyrkJTv5kqZltzzgww8xNa2Qth86Gd7ga+rQ0S
ra9Yca7TBH/I0nxUWfG1y4b1futFvet1hVp6su2dFyBEKnAinDLZuW95N8WbMhEAx4Cdia1RIejZ
rQq/PqH/fq69rOJuIeTJFDmzhtaRZ3qs+T39ByHw/E59sBuUGOi6Um9nYsAzv7Z/pqBTVyHyCOBA
w3JMskD8GCuOaBl4mmMJPz4ajca60D2nI6DAMqeTPoHRzDYC2e0J6QdY7FkhGfZQEVpGfrL8crgs
eZrsE9m8c16jFGPESXL2kpVXeL2HHFRSN78MGiAS/Z4b2y7jZ0qpJ2k0GH5b7V+nEGa2gOsoHOv0
Kh6XptvgQ22jaui/hWZzM5oktdEbfq4MtjyQ86jGPVwSuAyCl3RCq4fHEh22CIatRaD1E/QD5CGk
Ul9Xc3qWRvWqQSod5y59bD3zJ6Ar6r+Z6qhKVPWY1tarTX7xlT1UzkfnoiwVSWtHsPWeJxipP5Uq
jWWfVAHueLoeFN8Tmkxm2+UDmCAGQnWS4UNQAdw6AZEfO8dArzycx4fGRGbB8D6OaTvpcdy7nTNL
iv/S5IwzuYccE8gDoaXMUZWNrICPBzuSkOtUG6yEcueJvD1ZFaXkIpOJo04c8VUp/ybPXHU3kHuA
1yQHmWPhBjGRIaBo3Q0BYpldL1J1ixguuOIX/Ke8Cn5aifXgZHin80BirwBjd5pdHq6mPX6Pc9U3
h9zIkx0KRAeHMIpQt5hOcPlylrr5zMgYW/06Qe+ttReoqmQ7h+SoMalbJexMuWMCTA6QpJ1t0jFj
3HhTi66fGIqjPzTfkmA5TdzwoCaUuMoT4yYOO2qdAuljhvVZmYMmRSH3d37uFYQv0v4DW9MhpWCA
QWVqbWNYE20yXJCKfwgGxFEfz6R8TdWlcRQ5B+XsX1UOEhXf0OmBswsNRNr3d/DmXqTpdIxnDJjO
LbEFSWGTKSJUspN1aSKc43DWun2HTy4RdC50vRG5+6HGOLz0wF2OWTxKTBrztzwx6Zzp2d77OWLQ
TNvvsTuYj2MA4tub5rHdZn09/nAh7j6y96ES8Nx268O4ObUNzShhZlszNpwbZpYGfRagWLtW5Pkx
9CqiHIpuGy82eTSWHMN+5ydm6W8ykeanhuejidAUjcOs3jqzrnFpO3YZ5cayfM+tNJ620M6Mt9or
2ztfFPjoeeAxH/RBegY56Yt+zhGJYL4sjRiyn1p0/jvQu/M7dRZLK1HlG3CD4I4svvhm0Wn/3ZDe
z6Q1Z4UJxuhODW3oyzI58daVPrRlJcX4JZjc/h4mh7PctlNQY5Lxy/pAF7TEXqCBZyxLCPmqlqYf
ebmcImVJKN/EDKg9VAEArMTn3TK7dQcc8Z1zlPHwNCfuFyoE95EsqHqPnlgfWQfzzms7wENh8DwG
2IFVWlmPiSjUtkvtu8Ds4rcSciJAszjYEhpiSXI30MleQ1Tw7DOQNlioekivqSH0tE88JB4t8Iv+
5FTsPxtPA0o6JPE4rU2iIt2M9MKoaUq0xBWHG8q7sVbuluiP9rlVTnPdNEEwoJwi9gWXCT2+WWXx
dmZfwGc1hfbtyKjpaeAHeFHQ9MtLn0N8YhnHNI1oUMO6JBvixu5Vf/a5e5qtUCOhx00lz8uq9Yh4
YIUbsksSKiamp6CqEJXwmF8rIXaZ1zL3/G+opUH8Q/fQR0CRyJWNqaFoDRxE9olRDFsnsKdHt1ea
5pPIlYdwFx+BsozwGfFM8uHCCU0ixsfJhCB7nh/mfJgAd7HQdkszzegCOg7ezCsLlOWiVBGuuZ8j
5fWOEcEFVlS2WToP0TpTu8hVPXl/Ekr1lAzWS5ZRgUeuw4a9tK553zU1QoOiGYKHDs4kFW+b1PfF
YiABcGR/Qt1EX6ZcwuCmJUbiBd+WuBXlCJpKwQnk8NrZFxI+/IfQiDm+MMMLocin1vtcyPxEqsDw
aFk2zVCE06zSumJb3ZRuUFnUjCmZFW6HLAt1M0+sfqQruLHbMMlu6fBj48GiYRfXGcoCd6+90eWb
Lpm3aqaL0ZR390vSOei+ZmXtVgvZk1j85JQ5bJUosOafhSrNV2AaFGoLEpOITkd7m4YhspYkk81L
74FBGNd0jKR2eJhxS0UcduROJF12UAZOAoT85XUbT/4KANE71Xn5WZkVVoXcN8W5Xurxi84qPbHL
IrlOjdHZeq0Ts51oZBp5o27deQyOZWpCVBgWdRg74Wxtla9BEO2ob4KitL/SvTV4iI3qSVDfncHy
jvteU/3TzvTp0hjpw5xmwxatIrotZhnEyXblTa/D78Zgmjs2p/jopcx0DQBhkFBZGnZmpTvZQL5N
zeC+mjzsXrM7nDzDR3bpxQXkAU4dPRXjln5zewJZ3t9g0szPaErfIbyZuyFGDJYF81syl9A6SLDc
xiho0o0Zl/TK2vkZEGS891uAZspa7J3BjX5I8RBuhxb6V95hcdzWeTVbNNpQmNiTGXkmUkrt1tSy
YmlfZeEwqNbpcpzbCdq+b3b9feDX9IHNsCiiyrWG4mFyU4nJl4dNRmglpGbCPc6G30Sjy/iGHqtJ
pVGnezMP8B3jL3Pzhd8X8aWzp/lu1BV94CF/Djvrq52wWbtGtZOOvUR0St7CChNHmDDwGLFRYDAr
RIQzqd5bZu4cRweRf5LhtEQ1B2XG3Ya9AJCdLHd2KiH9Zc2L6prs3kv6Y2xYaL4afRgWZ/hmTIxB
LNv4ilpd7MVChTw1hjyogQf1FPRvZZg1l7FvLn294pdEHfBoN9eDYFoYd4EdzlCOrfSqqYR1dgbj
g4jd/qa2qnbTsv9vJGMwGj2h81WP7squm86DUhPBLc3L/46t/0tjax7ef4ljeHnrUgmUv67+LO8G
+7X+tb/PrlcmWUj4HTVGEK4zZ6bQ/5hdW87ffJvpNaPrP2Fdw7+J1bi9+ts9xwGf/P+U3Q4sWAfD
fWgjySZwkpf5l//7S15099v//z+Ur/c1Urvun//pVxYDuAI6BWSIEDDHzNpClP7rzHqpl6Y3up6B
AkDVZVvJqUci260syrHpvv1pnn//xyj8zy+2/rB/G5B/vhi5pCFtwzWcjEy0X18scScHUrN2LqlB
ekLl1NbTrIfwOZf00aichXpl+AzyfiDC83/w0jb0txWNsAYQ/vrS0sjNSdNfuHziwauwNcIdLH7M
nn7vYdtiu2MUKlqcZx38UPmHNeKXy/7nT77++F8/OaoACz8KGn6+uN9f3rIldMussC9FuSIvAmPA
dSMQT6sTCRu83FQSCPPXH/m3tPX1cvOi3CqAAECK+J96hT/lyVeqivtEhdYFl6D1VOFtvbKY4ULm
Z1r8/OmIdOTKre7NnuwLbDP6w1P4UgsDG+m28QAxKT8hiqsz1tikZcFN6DEwaUjhHoR5PaiY1p5c
arw1WFNLyllm6vZ/4mxZrQW/XzvPhrXqWTh67E9rwp8+RjAGdo8y3UJ8RpWUo3G7mgoAd/ugm8yn
TzT+tNp4//rq/eqn+ePieSHLg3kqL/x7ih4oST+b3Na8ZKtflP6MpMNbpT9FBj7qk6fhOsq8ZYKD
CODTZfXXr///L0zfNjF9+J4IuW9+XytDGFYAwibz8oetf10wHPSw1A+NefvXL2Wymfx+hW2TPEQs
JLwgYN5fF0c8+7pCJWVeHHDvDwbVfL4fJNN7pkt29zHljvM2CG9dnSvhHTk+i8UgoeA+y+nx/fW7
+fc+uC0cdktzdZr8ftdagKbCRsTi0uuGReL4cVGfqbXFgJo4D/8Hi8Rn22Nd8o/vWr+5tkyVkU5i
D9YFOyaEfSTSyx9sgk9SBaNfh7ZEh3m1kdzlIc7P2xJtPMfuzCTFyMyW+trwcIInDGNJpRNWcNb5
gLNVw7dIUxi5/NSMVUbZO42nMEWOtv/rS/Zp7vptifgW359AYmWH3LG/foFZkcR9gGzkEhOZ2+wX
H6Pt530z6VK9ti25H0UwsuVCvzp/+m4TuQDD6OawOapPAobMHazDy7jQfTFxp3980iz++n3+O7vg
qttCcIVdxnHFb2/T4BQweIyJLwQecEE+ERDmakkzBVZ77MH/2Z29PkF/ubM94XJX88zFDYg47PdX
LDWsZJHP3WXEH33t6tJ9i2m68j82rute2NN9a3v05mMZ49ETQ4aLYWTAS5BdLtXGRo75YdcQNzLB
DiAMFoEkpopajHvi8xJ1PDUAkcnV4j349fUnWQiqONITCuPbZe7rP7Cx/+HDhE/w+8fik/A929y5
yOq934E0S5CHwOPm5FJzl2xDNS9tlPlGdtfYBSf0imngSOzHwOTHcjGxb+VQxuk+TBN6iQU/W2zn
SYXwGC3m4qX298OSGPqYkiRlbiszod9nxC4DPERVDMIFXFx8rGWiI0EwYLsZk3k1+IZ+2kXCEqwM
UIFQAAnjUBuG10TtBaq69JVOr4OuzM5WGdS3QxZTsgd1CzqDwEfjqzn7+Z1Zz8V3kXdkc1IH0Led
F2I/5mlIP2YsTd5Jz2kVSc3z+yRCt7Q3jZ2BihMpViF67nD/nBpkouunuMMG3zfUc18VQDXs2Pcf
Q+SiYtMgu/U2rTU0kAfcpOWU4AEm2XraCt4bgybQtio7nR+JVNCo3PqeoBQL+7RxFQemc7YSkro2
JCydhBeGjzMQZ6aeCNPbizGifERsryuXoa6F2QhnrVL3EFwLWt4h2c1RkIFLSdKex27OPQKcGDem
h19r18BFSHaUBuHONzVO8RL6xxvyGMqEKmC3oQRkIx5W4ElHVAq+M7/DYBTb9FeCjobRZjKzwl9B
jnnPk9nkvAdXueqFr052IrL5htis5mxMYWDukxn/Bg0bOQVX6PZgTueh/h4gn0Lfg+EbMW7WRqFd
Jret5bT7FmcIrhT1OgqxfDW7QJ4shn8Rubqc8sk/pANFxoUPtWHPCbD+Voad+7W2DRcKgko/uFGm
HwnAaYIy0qSKRM/Xs02Jwj20iXKj0vSHLTdWKXDUxdU0IVcxjBkpvP5wGnrwkysT9WS4gcyvB3Ir
c+dUVUVYPvn4SwTYeYwgtR+V/hrOs9Ez4cY0pHCoxxb/RhVguTSOHEkYyEbOSJNKiJ5mqL4a6eDZ
vN0847Q1kyEY7OFnUfwsOJKZvXOlK2OorzHuUQyxgztv8EF9e8f0X80MCOLiC3wSvrE51jwU5hln
7+CveAcOoMA9Zu5K3DsmD1OnavgZTDvUa0gkLBQic41RR39lbIVog2gMiSOhG874ocsHtmzpoDPw
A3jqywxSJ3bB+SdSUK/CnGE3KsEBfQK9RhwVHx04kCuvByVgOOxDvlNCw2phsmxIqu6CLRYOfvzc
uLw5ThwQmHwcFf3q8c7nsr7OK1Ia0fuvf6guwrPWA/sz2xkqk8IJyyQyTc3vJES7AJyUFD4WSiGJ
RIDT+D4gROqttXhSQ8Sx+RMtoZS39KPYYj6RFX9wgPx6erBcj4e6NNhRP/dIarjgHLs8RP2saRlE
Bd0HNF4uZbgijrqu55ef77ZkgpYxaHCm+5qyEyuiK+f75rMWyQva8HcVM7tjkgzmbb/wjQyEnV3P
1mg+IaAIoRVn80MvOW7Ya1gmgZA8nvUEzOITAjNbXHuznPlQLEleKU/J60OiOj2A6u0+aGjQtEwy
qk+RD8CewPXuwrU8UivWogmT5jUjUwrxh+zmh89CYckb4BafdnBror5fuZKvqCxD5o9B9uHYWNS2
WOJp0sBuuyV0j1lwHQvY4wjTztxGfHef0Z5V3fDg6SAdfZKiRCYowuuahGzXzNUr+kqe5nNuQdiK
gea/ed2yBtTUHnKZpmt55+hgqaBgcUJQboyWkdtngcO0JCRKNyMH6fPw82kOn7NwRVG4s4McB2UT
xBvFPOJmdOfgnCKjfEt97KcHHju8QWVN2bIJjGrMdrTc4vfCSHnx6nMJmbELoXWY2rUM4smjo3a8
BM4Idirs+I4UWYWIB0mGRC3a7irHZW+r16NKnpbyYM4k8bENgODim76tOtu/4uPU18hWvAeUJ4il
sBXwbhHJEXMz8sRF3Updjgz6ViA1QfvkrNAT9ELTvRNkc3+jxsRI6cnFnAFNr+KuJSoysHcYsXgz
scsNDMSIa6bNIESSK/2nLA8Y2+lGwFT5RLwwInXfsCZwTSe6khwB1k0gL+zpgUgxrkqRS1guK+qn
CVlhyltfvhx1sM3WVV+gqnslMaC+JgMKKgpPqSOZf3yr0gKVi/pyvQ6j4L+vEDBgEtP9NCfeG6IU
1qsoUGVYEjFqlIDMObdtxzv5vBOdKTMZrEu2ABdLNVHASBptatoGqXg4xRY0ViwnUAkbh63Jwoxx
LFszfCYpF3S45jja7WiYUhQRkkgNZI1J+Qg2yyWIMjOfLCPgDEDfikfTFIDSsVe0gm3RxMROmkHk
QvWnXr1EsdAbcwSptn5CnkTUyB16bqj8MJU+D7wLaKLXxbRZoglHVMnWTSwKR9qnvuE36ebztei1
SluCke/ps2L8fGzOi+COUoVhX5FIzWdfXBWeKysgRLa3yqjte04y61Vr1TCFUTaaxRK169tJPT5F
LonWUygeCLJZORhFTpSgWGbkzD4xIns0XmTAul3CdiTBZdD9XIEJade6jEK55Xtu8Hh6SOUKdBwH
vznO0mVc6JLF4T5M7bgGqCLuXUFqwn1zpnVn4U+Hz9UkOLaC5QarVqOvDqEdFSizPf520adW82iC
9OYWiXMu9LLeVzL73PsmKzMOdWKyyVOKEJqzW5hULf/K3pksx62c2/pVbpw5dqBLNBH3TKpFFdsS
O0kTBElR6PtE+/T3AyXbYrEO6e07PQPv8LYpJQEkEpn/v9a3EAcxJ15vwK+1aD64d7HOujAvrHVA
Nsryde7SVeCzNkgsaYMdjU81n6HD6/w06dtuYwoB2y6vzOTCbh2miKO2tQf5q9uHwVg7vycE+hzn
Z2kjc1hmNYQiovFcZAUzLNCilvI6K6wh4aVAUQiUCOrbVqtyyJtirjYkDSnhSyvPtZw6cM5KhL9W
WeLWpQhRi5mMFM0XpPQZs492VLqszZ7/b2QjROgkFp1LzeQSmHLarQitol/NNGOHVKGKLwyYBdQQ
JZMGDAirvRFpV8LWpwMndSa1qmi08iX+BrQ9vF9mIrEDFr7NzaYzOX++ibgIaNf1vDbzBwhFfmCQ
LE7VlkWhCOrO35B6CUAqf+U4xa3kNTOqkXFRqw9ffrHwSo5q9+4MkwoEtWXkPx0dhV43pbKKzXqY
Xe9KOd10mhMNnmy7HI56E6vFLmcZvUTCym8hyCuk1hzRElipmj/Vt1K0bEICJXHvVVzLkNHQMGx4
Vfprk6bwDRFz2ZVuiOdQ8aFd0aX1RFohhJ1hIH0SxD9BOpIvoFdYFNH1J6TSYOQ3Bj6PoPX4Is3Z
2UtJydNlhzJa90k8cp+jkgdaCBwjW6WNSbPOnbFbBBXhJGE3ZDsQwfGFYUK4x1kvsh0n+8HLqWWP
y7Qsc3SnRvHTHVL2C5Y+sBiyySQ3sdFRRBI3LdV9NS/+ezRNFCLdMGRP1ZrYC/U0T3dKoVOFoeAF
PSX1e+UmiOksLeus5J8V3PRpYQiycKkA9giIexacel78q449TjZv6arQISyU+MltSg1+2VY978x8
UE4AIZ31hsur6oZV7i9UyEPX/gTeKUGyCrXM7/lNh9ePiR+ybk8iKhIcBDPGJnFL8I/zN1xDjnXv
Oz4z6PVgGBCHUu6JccOKW0vWtMIabB8m/YAhNCxg77iBuetLV7sMBuECdyIgWZ/wqaCgM3ecwXiu
uaXz/aQ3ymzNAlaracbGdoy8fF03XcDsRB7ywVyPFUFvejrvN0ufkFgM5fSkYF6wRg9m+S2ZM10L
HKOPdcUrJOGMbSMfEQlorA2Ryfze04RWDhMy6Uo6HZcXs7PUBrFxyxsnFVQyIqncc+XXDqOCKTSn
LmbIGgCf2iQu7jiwQcluON8gDmzrbSGbdoNLCI2300jxqBLHcIuPoTjjilmVqPNwS+wY9Cj+I52T
RGbxYbG60SLYXCVfp7KN3Ss/tJ6CeTl43TILNfsJJWxAdZ9n6oZweYLprVHqG0YOb8O6He4GsBfn
IWKPO8ScyarhDWF15rQzEXakz5IJK0OiNZqlcg19qRho+Lu5szZqY/BwlCrPbWmIH7HbTi/Iezps
NUNz3+s9zFT2VfoZ1D31XGNTRk4TkZSzKQxOp+/Trq6qPK7WZK5Xe2EM0WVkw6gNYit6yEoZ3BCI
SF+ozVKSAxqhbmGOjJeuUfp3oWInzwSa8zfhKokadsq5G1yTncqJNSURl2geidJvdlT+xtz+L77n
M3wPGlYqUf+zMfHiMcpf/mzuEIE3/4nfzR2L3o4BgJ0ejgDTI1xKiP+gbWt/qQ6lLldo1OApL/7T
l2gC/KExDqMbQK9j6KrxrwaP8RdVK5DDtkpR9tWyeNTQ+fcbPLgbbZvqF38PWyUXdcNRfXN0DdNA
5jl5GJgpN4jxgriLP+7G9a8645/NjbdFtnkIR7PEnAxIawfq1tEQft+mSjCH0HW+QWfWWSgjmlCL
W/rPe/4fjDL/Fn+0AWrqdnSBGcXOvzfK92J4gfb6/zfEUZMIjaeZFx1DtNPBVg/oxKrp6eMh3lbu
uFcOdhXdoKBPK0q1j2HZAMgkBm+99qSstK3dh7MxCiDpZaoTCTqNrGkdXJR1Ac7jkyrx2z7KP4a2
BEzoXy2/tzfQFeDPcGkDy+0TvHWGgKxHQKBN6oc6s2SCkPCeEBP1x1f8tuj7e1hTxWc3s8FJRHo7
rNFgWMW2xDevitO9lnV3FN5QP1oTy7cdj3/3Gc432CWdcq4zO9px+yCoK1XDQ8NwfG9ucehvKWIM
eMJtdfvxhWlzufpfVfffVwavmXK2cCCvH5Wz3Wn6/Sytqe2fm1HDSjv67Y8BxfFC4QBxEeCE21rO
pD5ihpjzGRXzk8bi/G69/x3mniZ+ZJOq29u7m9iGRBeust2xA/Mg2iK8KAPKoB9f6rs3nJvKI8Th
TKOY6Xv0YphwVzDdaMBI4fDgHfIDar/o+jST+OqPhzp1QebcJzUJDWZBOXrNya3KuzFl/9aDMl3p
ffHdcopP+tCfjXF0OZACdKvqmCNouC4mq96a5FB/fBknJwfzjz49U1HQ8n77YFw3dvpal7VX5j0T
oVX1Pe7FEdRiH30NFYUpmXfqFTrXbgXnTN3BHBo+eWx0R9+/fZrmmLx4c3tofn5vf40mVcqYlmHt
IXipnwu6jT3Mz9mI27POCT9Jv6Ato6qdtv7eaNR2M6CYWVvxoG0pwffbqKzre1L7DLb1UxOvEAwf
wAp1YsWuvz93kXEiPYdTasihw7Xpk+wOzooAPiC3t2OC4N2ObaKaceiA6Cm/ZyCBY8dp1mmhdV6L
/ku8VugVF2keroXwguMCSWRVi+cyqgE21sRUhWpqn2F1sb4pmZ1rkMPG8EKtFOssDWiBTCpFixDg
NezqrOU9JKVpBeSjPSd9eboD+ZCuwjLEmGZXz5ae2Xuw5lR8lKpbNahTt6benKNZlXeg4s1D77ca
pxw7XRccI3YmsvVF2mrmpqEOtLCHUkNAmmRruK0D2rah+2LYMwo0ceS5PcXjupgcHQcaiCJU9gSt
FrFLym3Rhgc/7vpnV2bjoZuMtllaqMuWdGoYL5qQg1v+17CEZ7bKKCHeWb0ljFU/aS91PSjpEvWy
/KlQA0UCGKfy3tXnCPQBAu6h61T+ovkGI/C7wARNFHRG+29JEcpC/OZLSDy+IUmVCbK1T94UTZZG
S6jQYgpp8cVexoH5Igk+Q5Qo2x/xNNyZk/7igv75NuiEYoMdjb4SFkdI9VhxS6gwa1uKHC+TLGqX
pJtq8uJKHVD3YwVc0D+S94gxzUWGdQSSip3sM1c099H81eEUZp9lIE8uyqz315iVtG2LWfDQ48Dd
4VfoVm5d1hv8oThDdNTVC/Q1wdL1R39N/qhKQnDqBHuqlLpHPDgD6JO1rKoY2WbmJB62rO6GcOD2
RpY+P1y7DRPDicQhpQuyUKmv7GnAE6SnFO2aCpx55WDbYfduaGi865LsXTZql5JctngX61a2KdMK
r81Q0RtftrWvfaG0GBxGCvM3cY4kAWxCJK44g8XbkIC0rWbW/pNPmxtakK74lzrueX+ZhDYKc1PL
sTf6vnk1hrWOlW6k2TEF5n4s64oSra190XD57iy3tK59xVC2TRka17aWBeeUyO79rJoOkvL+7Czs
VK8NwU7vqhpZK7WvdFgmxBs9yQGYkIvFjvB1paV6NIbOT5Ny5k9gbIS1Kk1/Vtua+xS6KkLCtsLF
D2FDXSsNx3+/cOf74auJtSJC5EdaNdzJphvSNS0u1dMabfQysJWzAcK8VYdkItvIoRJIA0jbOnZe
b0Vv9l8d3e++574ID2pWqV4X6akFL3KIKH9HnbHIyJt+1jD07KuszS7hVvWPtWHkF7jT3atBm4zb
1JUjVvkGUA4MSoGUOBivDTy31Fxq55oTcv5IU7I/QA6gVhqH8hJohEXKhj1eNJUrzpIStblWIW8u
R2ndlEDVVnJiL1L1QPOXQtUZoKI6FGIRAQBUc6LNFxN56/YiR9pFCIVRbDofSK9JUB9R1mkRQkfr
4h9ishoPFWezTpSMKpavidWAvGRT0jXYyoIS6grrcIPBMTTxBaBYTntrilEsV+HtpGc+otSO2ENe
mtBaxcQukI6WT6jNu+BW14ppPyZjRc6TTjlF+FG1jAkawMKXxe7O4XiywfhnrUAGuTvRuAWC2aFY
w35TtjWJ7ziDLIM54RjxtOFIItfqWNc7SpNzInfljBufcvgaNTSlcl1N3SUgLe7DULBL0xGDXudp
XT31lZQsY11ySJHMbsOY6EdattV3MF0EjtF79QAtdi+2mk8bPXDEmU6Vb9tDcMevpMTo5ZNCe5J2
3owkJEf+z4Zy6f3YAE9EBYOfZf5xPbfEDZS5ejcOwewtFnZ/1SPUvGrmVOjOIZh1zRyeuLtoNkwt
gL71OmQ0zenfVkOwPZwMFzlxKtWnJJHNgz3gqe9EyI+ataGssRiPF1DSYiCbgf7FzAf/W2yGxT3s
5GwrXSKpBabAdTThQooVGNF9RbtRHVog+0X7iOZA7lDvOIRhtbFYOX6izjtrkrXHurt0pcrty0Oi
nqmtRxdWMnQXVHjgho0attVCcRHFOiWJFmjOOtpyTpft40YbsGwWFqJkQirZMVIKrBcqwljPJYjr
Rhsa9atESXyIcOtmizJzoqUonZyjxAw7nkrwCnhpe38/TE6z0OqWVG27Um6B6dFCVAYevWNM2nlB
B4dATiP84Wr8dJJiZc5qS5z5WuFuA2sO2q0CwEqVrzg0PUS9M0olue/dyN3meWXduJUFdcGs3aUj
aedCNoiW9fyxa1wwN6/yoNcMdUMjpLxwG+rmPpIYA0wijTbaKQjUpj16EIK6mdF4M0y5zkw1f4n5
hu/0Rm2wG1rTPRMpuLZCJbiScevCT4SXZZnkY0d1mW8dBBxfJadfCf9D94HEkmWzbLLc3eq+Amte
JtNhgkbw0uW+cpfNhLlJon1ekSvz+zklEFl+jir5cINpEEj+quyKUuU28BMWGSMZ9zE1o7UiMLDm
beMcXDQh9Itb8WC0o/mA3ch8wA80XvKlsjZhFSqrMYqUFciP0OMEUlwgsKi/0HgB8033bQ0Ia6Bf
xF2XAuFcgXnyCpQHZVW8rTSJ4zNRFxrozrCA4zZhMWcibgZRqGd2hdofOaHcZaM01mWVacuhViGu
+rYLkEMf0ytEC8EOOcaYLF/n8uRoFMAVk2IoW++ziZLzpd3k/jpLbYJdTdlBLBF5cqVWGMeACFpf
Xd/vttJnd7uYUydX8HZ5/FM1XaDrni60ioD7oKeKu1RJimEJ1LQvoRI91ck4XLIojDu99PMru54m
UtVJR1+MTTne4+YTAHEnuoVTOzYbW0OTRFo6QIzEjq8wDyub1tCTvYkp6yym3nyt2b2y9oGDXVUk
/VC7DnO5tWmeGBBnMjtZAe2a7cgaYDy+Td0O2AEidwza5UUv0xxJi50Xt6Q3EbnLgsMeKLebM8Q1
8qoKQAXVtMKXAdKvi7EHG1b5Vr8xdGj70EZy5RZbX1GDd8e0J0yjWaQdywYuAV5NKcrZcBGJeOV0
FdKUssu3UsvT+1npsM7KiW21G2lPamCOF2ZWNSuz79WnEfAE/sWoQGhjNv4+bHgxcW7p+2nop0NN
gM3e6gkNdORY75xRJxjQGDusFJlrkSAju2K2jcJwPKgwVUJAqCn5BT7/cmsqVSDBMIbdeSuVeOnz
o9exQWF4gdzX9xotNrcRyp4dcazWtq8oiXNFxGfg7oKKEF5qE13IZRtlN6DdQJc7cb6eylDZotuX
OJnEqH8f89GJ+TZUNwbIBQrhkXIW+N11W442EawVbsJYeXFwHG80M/9qtLBjUkiN51xGQoZmwcpJ
qEW9cZy6J6wy0LcYUjtEEL4kTUTULfmxqr1mhxjuy0nQnQlHnNj0jpLGyp7tXHluJnE16I2xIYch
m/dt1c4JoRTbU3SLl3Fa1o4SeKxWW25EtyRVOl8FPpUVN3G+KtjCljI2CjClTYVGp4cfmRg1GidH
Kjs4gOY6tUuuNy8FOfItJQ5W7PxiKP2Lkq7hMqFruYZNUaCRMbp2O+FM+h60nfCSgXYjIH6irEjc
LG5KE1/gIg1UJBmZHp4RjVFe53mCDCVI8gVf9exbo5Ttc9nZ1hzGaQ6r1CmTXduN016PXABLadh6
SphA1MbHbtLLrqfrGOvUTRnMtvUM1ORyGOoMG6xlrQe79pd+HYbb1J3iTVcl1P/UNNpjiaI6r0ko
2PWUnWmuYnhTkgqX1loRGH25cfANJ2dN/sT2XvtGAqpzgedWqstaFwV5zTHeSr1oe3okyAtQZ7nb
mKiljXSIvNWzDALg7Fmh61HzFFeDL57M0KzmtMxpJGpXxodcyGLTRmP9zarZXyFhCvXL0XElXYrQ
JnUiyh+QpYIHq/LWuFfnL6SlZSVKNCf0hjxvz8LIMS9CNFsPuTSEN8iq36ci6M56ZUyepRmTMRHS
YF8UrfSvO7vMfmSNrZJsoJmPhDsVeFL80t5riW6e15Lil6VwwAY5mZucdRtCbfE8mXdGDiwi8dFZ
LLDah5eFMr4kne181Qs7hyoywbgO0gljaRpjHoXkwR5v4lNIzACsVLjQK2usWcniNAbR0cHZtmyV
x8vXdj9yqgAAaUyLHt5O0JTTqomyWyWNvg65hLjLKo8PBosYwU0cirXygZhhGEBWSuFQNe2qxSDq
ym3hWtltkWTFuZxSfVfXPlupdZCNPjgSxAxOC/y56ZXM47hkKS+jTFscgrXYaciG7uEfzQD01tly
iukXIA38u9RQ5DkfRZjB2OofB80o7uIqqb6WLaRwDFJi1BZ4y6IERB35OIsEzieHKZkfTEPDldgU
0fA9qS0dYUDdx/tOb1+C3ulR7jjaOXK0/MxgZ/ucl+i8RgBVK7JYL6di5sE0BrwPCT9h2fOoztFE
wXRwq1KCWXGCy5jN0IIE7rhBtSGqizqwILjWsf6F9/8HauZw0fJNw6JmE9VrwEIizwhjUaJSZDCD
NLwf6gZwwAhUR8szbELoQ58MpfxuImT8bo7DzdTqjbmxLSDxSFu0LdxSVvZSMYApt6B9XbuXyzCs
6i9CTec8WqifVtiqm6kDRCWY8Z7iFOY2DC0brLc1srjUrb2D/cDZNNaDJzEKoG6shAv64sHGCQb7
lqMO3xOon9/9zFZXZeA+QCPoz9RS07f8LVjJgTjcmJH5w04dWAPUk5+CiayxLukdNFvGGF+4YIa3
EMO5Y4XjQMGi5bhQ5pgpFJEPdheat1FHbGvcRrywNWiYPmdPNYaQ2wUYWWmE+jVnkHsW5OQKiBDU
kspCD9NLa12muf9YzN3SlLwqzE5GfGkhRSOTWOEUo9fsbocG9lHQ9fmXfGpA+erKIcsyuZPOmB18
suivbTi+Kyu29EsSf42fWpDnyyLuy3Xd4oglf6u9ysUQnqciETdmGbuz0XnylfZbnCsLAsrpFLLc
rrtyNrbKQUX63Foe0rx2Wcik2I6dkd5IVtwFgJ8SkUWnbuu0vQ1agO+DrVpoI4txiw7ge0icuhcH
IV8sNoJAim3FywwS09nK2XvsX/BTyRZi/1vkP1u8+rhZZflkVHH5rXEkmGHa4GHyVIAaVGkLtj6J
xj48DSWieYwL+7bVCZVaKsQ7uJcEJwWY4vKKbGCjxsW6qUDhcTQLa/cyH+v0lvxGSLpiJG8owptd
UsK6tfTmZRiwaKoTW5W6Muq9OvXPtuDUIFI9W7Kp4pBEVXMxaUm8yyJXW3Oc8BR0b3vef/HVzqz7
LGBvTI5O4LErTFeUO54bPWpXhToS1xDzfR373msH69HmCIKu61zU6oE9FL54mzKR0jras+mm/ZlZ
CMgJlTE7tGFeBL6GiEnxfwITENdCVfRDM7g/K/Am9wGv3p2OGjpciaaoooVbD/4KZDRRYERRb1V3
aBEzVYThyIBITexMnzgc3ldBATbbwnIR+mvQJY8KvkQk6VB3HIrK5iwRhu21jMqCOVltOY9nnzQG
TlXLVRu/l0pXwMK+9bbmCqSJIMLCplpeUC1XG/4RZShE0qBMVx+XmU8NpenkcThCx1Y2g0//bIqp
jVVSfqQw3+M7vh1ik09G3GkXqgTz//FQp9pHOM50BPxYmIgVfjuUlgiytw2Gyuu8PU9StNJWTfvG
Z/IuqmDItkXH5Pp40FPXp2sGmDmHAEoQ+28HJURE0xVyGn41HnSTW2nVlOw4k37WSXlr+PnVzeGF
pkll0+Qw33VSWPwxeiuE9oyhgewVKRCLmxPvEp2KJgEZ1XX52uJJp/CiTWnxfHypp5oSKJNoFlvO
3BA+mjVjYJahmgSQTjKaA2y6KGRU/d3Hg7x/EfDACaqa2KhcThNHg5hIOYzZX+MFqALR+kkgJ1pS
QfOOqx2pYfkn8/P9RTEebF2XpU1/b0Gr2Ok4Y2mgMMT7cmZa48EONfuTt/v9JDHooQtNUG2ZI3T0
t5ME5aicauIwvEgG7bIpi2gJNubcjikvfnz7TozERTh4SixNGDgvjkZqImgJI3GDNDtz1pHmDMz6
bVnH9x+Pc+IxvYb3ajwrFqzZLvrna22VWWK4tV14QCrXdfqoOOkyTnKi7Pz9xyO9QonfNhCNN0Md
rSAcGy0I5gzVdi61tNwEr9/bUi4Gt2vXVZdPd6NgicRs6NeryqTgptaV/81iF7mWE3T4mIbMFlMg
iRz49TNquVOyF04MGdgYlF3Qh9OFj+T6i1lBMW0DCrhsdeQ61WUM3qZLh8u+aCkqjTALl5x84wXZ
2NMnFzq7b486pbxUlNpRgOGeBTP79p6mYA0MF0qkNzWhfHDJjLjUAB+MlhU9ZlNr79FQ09JI/W81
IkmwIiPHmMHaWVa2joDtLrWqTMDb3GU+exVpgWovMjBLzgVS/gnbRlKtm6SnBBCR+eDXMVSioC+I
/ut0e6/ESrsczMJEHDX1Kykdfck4MUGqin2emGgZYtBay4EO7soN+iUsg2FlcoUud0tX2MpBF3qy
/T7/5Gv1fl03tVf9yszJnr25x/elbJqcQpo3leQnyUlbSNUEnifODKE/yIiMyo+n3PvJzYC0EFjR
bVXQmHw7YBljL0IDn3lR5Sps4Nq63LwmvxtYKiCIzsWTj0c8cYmsrLMGx6VZZBz7G12LIEKpG6kH
8JK8z3q0LvLQgTgAGo5QVm3y2Cs/fTzmq67h7YuFrI07auHQYr04jrsLlDFlvUozzwKgsYQHbd2Y
odYtc2MUZ2GRpvclpiiUoBwrXmtpTkjCDmhZuZbsd7dK31PW+eSXev8SmHTvyd4TsxzJeKeOGMRU
+t2UeQ0MSqC/gQl8xTc2jY++1sU4vaCVwBZfpGs3qMPliFSNEqGpffJdMN6vpOaslkK2MJsvzeM1
mzCQAA5xlKHmIZ108VqAi4x0OlAEyMUZj8vekSsvzugFYLtIWWw0hUR79MBhdw2rQ92MwJW/QruB
OSUn9WuRNLCEeqYUpX0Yc4MrttSOXkaqBoamdmvTisM1h1pzVSv57HWrbCJiYNM6wRlQVeMmMfLh
KsdJQe4EL8JD6LTuPlXtb2o7Jt7HT+LU9WMnQJllz9+tY0UFh/AYl73B9afJcBOyf/JAdEQAkpRw
8/eHokLAFxiNlu0cb0dTw6hwtPC+uYURgntz5rbTUCZYUdPg4eOxXp/b8azH4s/rhpkY0cjR5wRA
GDGfWZR7ZSd8ZyFZRulKTKa29WHwQtVItTMNaN+1HHSoz7oSHHSpuEu8MOW2JDr7V9rC/+iVfL/Y
4MdA+IA+TzicMeal4Q/VmJ91FWqrkVU/VprzjpVwxzdt8IIYUuBigJ77yYOdL/DtDeCtgssgTNIY
8WgebUaqwiRGu8wKz3UkRnW4VusqqOW5ZZRy6zuBPA+p9d7itA4+sYW+n1IIgjm4gnHgMb875NRk
iShha4GsjMbxK4xz7XtFg+lWaFb88vFjPnGRKErYa1Fc4T/He1UasRxwxzb3sq6mDdPN1h1aT80K
K0C9Y80g+K2hoz8id6dL8PHgJ64THRmrmCo4irz7ftig2qlz5TlWKHwOVZ/fBkOAtiQe60+Wy/cj
4ahmt2Cjn7RdAARvJw9FpyYoMFd6uuM8jGPer3QH40fNK7X9+JreT1PkVchBkX1y3FGPPxYlEMU2
6NoUIUNLsJ1FpdeIr/peWBsqXT8+HuzUZc3AGXAfGm3rdx+BKC1zM624LMy0nlKOM4Z8pInUpHOG
y8eDnboyvr1syzVBB/14oa8Qo4TwQLkyxbwNDeWhmpwf8WDcBr31iebqxGce8yKfFS7NZHYcvXp4
HKMxV1B+GGW6NijOunCnCTTqpsWUd3vqop+dGU+P6CK9YxnnpTta7RSzJHt8HrHSuj1OgMcCp4RR
JxWOMisFoqh/gis49egQGgKv5UzFiEczUsCvtqRvJ57StnsCKD2QuVeRpX4yzPtjm6kKlbMoOAjO
VsefDHwqQ0QgVeJ1iq7cKnZu7sqBT/DHU+P9KsIoqOI1VmZc08fUgkHRB5IUtcSrDUpolJaWadz+
tHPrEAOHWwJ4XxpYOD8e9IiKMp/zGZWFA6CIcFktj7affjZJF5kroD8xUnZPcZos8xJ0++AiC5iw
GBOJ4RJoohQmXm57cjHmNqq9lUMV7FIa16Ar7dtpFNUXt02SFV5vjj7zoacqdHGGDs+6c/Xe8gLZ
iE9++5MPxiFbmO4j26bjB4MGIgTzz6tLOTxfx6Mb75WBwurH9+jkLEM1Tg3L1RF3H79IZsVnJChS
L5c2qYVF56kJtg1bfnYme/et5FG4Fid31iELze7b9VUQmJyXVc5CNJQGyhk/3A1ER2w+vppTKxDb
TOp+xF1wyJnv6R9bgIlYhyFolQS1UhMvOpvPFKREuW6a9KmLzb9fI6B8JMiT4EETeHNcR8KvZXUo
vBJKVv6P+d7VkXXIav/h46s69fKww7II1KZg9C5Ne2gSQIgFL08aCec6GTV6er74wcay2NSBcJ77
tIx3lCebTz5Vp9Y89P5Ahfj4vi/pUKtVQ8PsEpzW+pXMlccpDjZlfI897Iad0iejnZrwFHXgWZoo
ad9V5VKu0YZJlHhQMZNtZgn70Ouxsvr4Zh4BVH4tCtxEmwQnzcDEcbSuui2GTkGN33PaXr2PQrXY
KPgpFn5sdCnNQLu/A8gJ2biQ3VU15smlIF54GzqISOFnEgkTkEakVX67TiFibsK2jT8rEGon77w9
k7/UOUb9+OBc+40q+izjazOY9CVk9ahJt+AU5zTk4jkP7YAa2y5Duia5Ed0nfdfsfLf4HiIhmaxS
7ss+M3eo5l2gicqMEuU6Pr6RJ941muhsQW3b4BBw/EFMbX6HiKQLr8+nH+WkyY06c739FMHM+Pjx
WCduh/Yqaiblior08TZG10ZVNXFDe5Ov/VARWK8yoT42Y5p7tpvHa2rz8pMdxomXTtNoEaqMBhXq
+PPb1SnpmkHB5cXiK0nIylIXUUrjBHcWDujqrqr7aoX8o/P+/rVqGqA2FNxsEI9XSlNx0TfC9/eo
RF1WZKBQBk8PlP+DRZgE9xjIgr+/b2PAucipa9T2jg9yvCu9bMyq8BQ1wBKqdcggckMeeuzCXmZR
Jvz4Ck98cxiPPRTUK/wpr2/oH6s0Yb5mGBXc2oHcj3Vq1vhdqwIwL6WM/2QoV3UNh5xzGgtHH4TS
NiOZETfraW6RX2OOBXBvS+ssajXtk+Xr1BzlJMz0NFlW3tl9OjR4+UTd02uy9rYNixchqtu04flF
QXVw4OP87cMRCxiWMlBpus4OcZ7Bf9xGDSZwAV2fap4+ISq0+y91W69KqpyfDHRiYYYaqAoDVpeJ
SW1+nn8MVE49kjOfI2AaiIeA3B1nqm4/mRIGf8fbszTVoT/GOF6VlZhEOpMxcBBoCxIcy30jGvFF
b2H++GnfcBex+4q+LlczWeCu6GuA8sCLt61TJ7Q2WuSXOcFehTkguSMTYN07Y+pFBsDTyTTDg06Q
A5mbnf/NL9V8m8FzgaPhEPRF5uwuFFQJJxU7sNBqxMHExmtfKF2i7sq1JtkQqVZv1a7yiXNAq3oV
pyq7Q9LNgANE9VUItm6r1c24SwWa0M4Is4tOqTso0O4tFuJmydUnm4xKODGWKBM91JAZINipJAk7
FKiTk/68MA0yh0AAbD6+vafmJl9xW2OeGPiyjnZ5VtVUcrSYm+iSH6tBPgI4uDINZWNkxZqw4uI/
eO3Yc7PZw670nmhHDk1eGcGYe7KCTMs61uvJDjLrJ5vX9308k4oaBSj2JlQ63aPLMockNOrBzT1U
6wdyJGpEis5zldzR9b5AAbNshf49qPNPjkzG6XGp5XFHOVwfnyvcMquyshfURIpxIrtCxQNZm8oB
Zw1Z6Yh0OONUIvPX0OGqVQr+gG46HFer0rsdEKWFiHtlZ6gtmdfSJIsOJSoTrtzSYKVl7sZPpPfO
eWFoDxN7Clau1CxqL/a0Ap1yQ3B8s3QmUS0IVyJTTk5Q1WN+nxVG7xdMJtp17BBeXsL13OBX5X/H
Fr8MGxmvbcXW7ytDfPYoTq3plsEcc3XKDIY237I/1ohIbUSWJ13uqfJxxBm5GHt1m2iEEn08k0+t
RX+Mc7wx6souSwu3zz1HpCo8DwskdxiuPx7k1NYGDCWnVR1/4TvmmlrpZVGRcexhsiPGWYD1VvWH
gtgiqCDjJ5bak4NRr+TM4uLdPT5EWDWLUZ7yriihRaZnMW07s9wgOUW8LT+Dk55aCCyamnwtMCS/
2/ymkKusGNmWV8f1QW9sCzD++FCk9YuMEEmE1id3Ujs1L+YmOwdYNAtASt/Oi6kpU+4v+7R4SENs
ZbpGwG/d7wB9m8B/gPOYZSWXQ+kaXyLVD70xwEURgLi9cAIn2biFOd7ZeJDwg/gB+TQfP+mTvx4L
ImUk6rfYdd/+ev3gNwoZ25nXV+WL4Qb3od7dpAbClf9gHAryOGtQibzbHDREPkGSsWjGwIWimiMf
81HpV0Vbf/IhPbVtpTiFSoSgWyiXR++hAUJf+Ig9PYlJJWzQ1Pb5gRybfexoV2lR3Wap+0mh4tQE
/mPI4w1rPJkpokCV1Jp+2AZt8eKaKWp6a18X3SdnDuPU/OVEigSA7SNn4aMyguwdsyQdLWOZ0cfv
MoSHH7nWkrBKhwzAOFgqpRItM1bkdVTN5gZFm6WgNSpDt2seTIoqD341h7XrWCSw0WFsIjjpJpjc
YuXQEFpmpMJtBrt37h3Bqrmw8gaFltIMqymZS5uF/lPtdfwzhbMiYe07aRuXaH/KtWTLFzkdqUOj
Ea3bbNTJS9MEH3td/JpNfwvfcBE910VT/JT/d/5jz0U51lEQyld8wL/+7bZACpp9+CPbl+LyMXtp
jn/ozV8LhuD3b7d6lI9v/mX9itY+tC/1+OWlQVH/D4LB/JP/7v/5f17+HUA3fAPm+z9JAvMAv//g
fAX//V9I6fKXZxk9t/JPhsOvP/Yb4WBrf80B0BoFgN8o7n8hHIy/qArQFjd4U/mSWbw8v7OlTR1Q
g8kSTTmOX4L/8i+Gg/oXPFlo38C+2WAh4vg7kO5fdb03O2F6tfSTcHgDxYUMfjTFhT5a2Oijzivy
QFvpYYQBb8qJbZPy62glT87/Y+/MmupG1jX9X/peFZJSSkkXfdFrYsaAgbLrRmGM0TynUsOvP0+C
O46B03Cq7zqiI/auvSnjtaQcv+EdUC7dtA2943rE7arIQWvi0wrBEXm4ra3C2xDa1KkFausCRuC5
Dr1hE1jyEnM5FOxtq4alC01nGSG0kpasBxxN7F2XtLB2wi46tBFbKJJjtOWyv6aHjG9jGoNc90Ic
nbpgxpOT77QSW29zp+Y77Q6x/mL4psvoFqk+vDDaxt1KP3+QVmsDf+bXC+PTDG2sP2l1/80hAN2u
vhabfIU3VcXBvTXZNzAXHuDXIJrot9/A2j81iYL4gagA/h/utZNSsXVr3gcsHLy2vvsmndxYdUDe
myxeD1lFF+spbOa0FQCNDmGXKrWPB4YGJZ19oiqxWfPiyS0snBwkQ9mEPcKmHR9agjDdeEVyxysw
DHYItBJuVAzrzxwV2Va3nrVPY3eg5u/iUOMBZ4DNUO5kh8ONLmATh1Qbzd/MPVqiWYQZ9+pimwbj
c0CzTai9r2DnUHC9jqjp70vAyHAFVv/M96CU1JNw92PHA4lWFtBwkrtiiOZNHIzhjgz2ibi6OQYR
ioVjvBS7CRg2IlZl8jMuLdAcfXQb2bBLRG38WcCoohcGCxAkT4h9mgaHkkfDLcJFxXmHmCoGeaDZ
2xU5iglu1UZgeoHNQnASOtbt8yLJOjSKFg/ADyJg9g5zKNTj4aH1dnQ7hUAc3IJ/VLZ/rTMeKslR
MxJWHx2cnNprg0nBaRApF+iHWUWK36VLfpnBRd51zQA1Xac5vGg5M0wsrLGEPFz5/iXr+WmOCrEh
bgo3AOAfqF4w9ys/5TFGRdqx6t2kwgFCdcPfqRilwUF6xw3aFbY4rch+6L89z3eVGARXybJSE++b
pCyZwNjyNh1mMGDiy1PbSZ7Y5Kxqye+GKaszDFgqjdkLCcnTXZnyowzzB5IR5h9IO0KtRXY5MlyB
F9wuKzM/deyTIIBkhx3hepEG7I4oGL4FBR8oA2Y4HFlMho32PBh1y6YAqb9etEX1UDWQ9VFJwlET
hcq9h0cU2oIwhpYaQ79qoOTntliSTzgTb4VqwdJUOAr3RWODx/IYUlvzDEk6IMRrcRfTPj4XHXy7
DvTWHjVaNJAmcZ5NeW1MdFllNX84T3VxEbpsVOQBbLhNabkvlqTc2+wTu9TZtU79y+ftBaV0Pbad
0d0j7x/uiI7xLkR6bWNXTDd6pMVpkpJbz7aApuKYbYht7/Z5bq2K17fi+lzq2BwhLAE6AtFWIIcK
zYf5Q2F0Rc2NNvOQeMV+IVQ5SJGWWKWxnJ8XgFnhbHEokUBpYBchOqrZ396KwsHzNKsRWJZCK2yL
yScE0tyJf7SZbx37Ka+6WnxXPTrWMarQnF5+9pAt/B+AkU9JwfNRj+VcsdjNlVCIJtcOegn9WJ8H
mT1f+piIhVP+YCUZWpS4MZ1jpFvAHGJHjOgSHCc++7RZfed8CdIIRgGLrK5EfW4NMCafG074fP2o
Bw4HBxh9NntHQDOwa7NmPsyZcA0ahDTCT2IHpQZRV3foTyb8FndBjbwZ1jP2sW3w2FaZcCiCh9zH
E1OHmFR0FI/udUpt/Wh16uWoVRwmLRiFrd/x2rHmEaYRviZbpIHKzQlW0ZZ5OZvcaHb3z5tW09TY
WgmESKxarvyeJdH73rW75MuRBIyL23ljrh3MuJdubg+DzJi/Bh+VtLPr81l68+UYFE8RYoJIBbID
nscahnSxK7DmvBod5tWrZbH3DFHXCpFZxJkTsYXSiq9cZ4XW1CBQHsbdUxfwr1GX2LPpW7TxOE88
GDMHp+9/hrbl72vLSbZNF9xXDSbNhZVeWdN4GTQK/dgJyYAlI4neWCUSLTs5LvbeLaYGQ6bZkths
lus/BUqOeiOJCOSeYuVgAWHp8wc3b+YdivGRv0Xj4tbHrxkY+4Tu3ZIM42k22UyhsOOE6lSCl+Ue
MXZD8c7UVZp4EnaERKgwOPTDrLFZLJS9Rx6wR27TS1tnK7vOOm3j8YeFrvIjselPL7MbXF3EXDyF
nbBWySmxrsOWjTHBDe6bQ1QVMw3KHhrGts2R4ahybGJ2CVfRjhZifBFNCHoeaLRNwyXmZCHebJE3
kAoAcbK+gTrGWxboQXkepzCaoWyVDiIKS9Fll76W7rJPXGizOOQRPqSB/LeZSSDQzSLlpCIkoUy/
SbXwznRXr+nxpgOzctSv6VNWcLkI3JfHHm6kr9h1XsZK/yMEvHqJnP6UrHqXnpjvRVOABhoqTGBC
X6d4EW2yJVLteAz32Rx2hBAiKx7rCQ1poFFPH3/bu4TSfBuVA6CAcLXeNboR6MFOC0Xu43JhgZhI
ICpg2ycWquXP3/SvkoD/Rnj/38sT/h9KAmg6MYX/5yTgf5UoC9BfeskoTh7/5/94+Ru/439KoH+R
6oeAEFgMlFuI5F8k3DCn+wt7dsc2AHaMkP8I/0kaKO3z6zRHfNClBh6EBadKcdnhj3xMbkKDyALZ
I7x/E/4bs58/6uDmcdA0pTNpWuRoI73tToaBXqoK0Yhfqb22+RNGPbGw8apyrU4BJYY9eo8FRKYO
wwIAG83Sxfd/zjEwn3On8ZvOPbSWh4Rl0YUW5ll1FFNUwT+2SOe73q4sWBy910Ibhc6HUZyFh7ru
OBhEOS6r2FF6HtwvVJLbAA9Zu7Wmu1QZoQjgGokRYFiizO026wia/UgMOJH6MJtzGKVbXLCtMD7U
Okf9ArkZUobP/EIcs1f/MzfCJ5xOjjHR5L+wr0ngXu9lbJIRVYMJ/KsdJo2OZJUEqUFye/D2L6LE
j/jK2cnq6qmTfbbc0vHCWW7rpmPP+9TOlMx3f6yt/+J0eU7HXj0S2SVFaCCHPqcb1cLXjxTk7lw1
Q588OqXtFxetlyWIHHhjh758SiAxFZsqyBBJR2UcaiaOCRw6xl+ybYofzTwsHTfc6Fs58FM92Ol+
jZPVXE0zU7FXak3X+7Tn4oUogsi4vFzXwuHXKo527kzqhGMQfVKt8l4Pc2AzyIAaOb18xyDF3xzV
UO5mXJTK+pcNwVZ+9evMam6qMm7Wq49H73Uh3eOLwIsB0AFEAVHl3Wm5ALGJVhiFj/TU6IWCRo4L
z964Njt8FkHufZkGgp0U93S/tNS2dZJA3xSZX+f/6tx+fhKgScY7JKTw+w454tCtgJuWy0c9hL28
9NslhxiBmwq2NadoWa++/GSQKbu+GWY6n0b6kRFAASDE5+P10vGTqe0r7r6HNMyAum2w31Pr1SDn
Hme7dbFBeR5FQzvIS0vEWbPshtrzWOG1xAIc4+jCS5afQKeq/EkO9NbMnkaFmrqW4zX508uq8iA+
6xt/HhP5bUiiCCUgjY4CL4cGjck+615JzpYa7Q4VU62KzbqzsGzkC91lLsPrOG3V/B0UFOfiBvNg
KmQ7N8/BGkNRzGSXH1yvw/xw0yFxOF/hN51XvyShZuZsBGbE61W4xpH/je5csd73mBryjCa2QhUJ
ZSTnGyITLbIDI+S99X5VItC3uu+kvhmoGvO7aZ1rhgR6bTMT66T0NRBHAANYLNscqRIWSEzHnJcx
vEwcknERkbW/Gabc5Telg502UikyGCp55Os5VdcKx1R2KBEs5fDt0Ht5suzzJOKroXJiLL1ZMYnk
26wEzMclksFZ971DUUofx57usovSQxT5aHKGuT5LO2sZT8eZrJC8I4x7hi7DVWk5C/WQcgLYsTIH
QRfGboVMHEoJlClQoGwxof39An6OMeK0qQGoynxn48/KgPp27S5nA5imEdltWMIWEOMhlvwPOrNL
hUBTi8vs//6MrkXufy+y2M/SLUuuwVRVpDSKACmKDEft4xkOSn66iIZ3Sl5G1SuKiZHzw3bkF6ZJ
pcUpCkAjEmSIbJhvFFbAVbS0yJ8jRr6gxrHsnARfs5j8WLEVRdGglEKMLvPqpjaEyOCAT7lZLi0y
RtgW6jqKWDWJi9vBshUznq9PABKdODioRBWhOLW8OVt+dtWsGcOGoNlIoLl2SL8rLMH25buVIkg5
ncSy1sgJJyuq1XAqnJmOxm7B5dK8RI6C1nzRiVjXyb6x0KhBnc7VGU/XrxgJVPvGjc36BYfo8VMS
ik7o02jQUAZ2zYKYhdoheR3yk5UohM8xkmkUj7Tw9vzLaczNs3gRwChJSh+wBZcQ965mJ9Bi8I41
kCMeL6+y0FxGVM8oEgzgBvxv2ejxwzaCSMZj5V5kxrjTFSM4zhPSBZsVN0w+qeRe845zRYc/OCS2
6dhsTbygb5H/4Z+dgyE8/ti54mzgPlw5Or0pY58v/bKawyPFq+NHTqHIbGkvMh+KaozDTPgDlyFq
7MgR6dsgw0ei2uOl2w7LsZ7tIadtDQeED6QKhdr/FufV0axqXJORy2iLaHVQYAhLf8aHyL6NUj+L
9M4Q28zJBGSRepO0rQPyy1QUD4pKgmfvWNuYHCTabtcrH9Euln84GAzfPqomksRdt0yNvJS+rwv6
47ZCD4S6UC6yL42DlD7FuXw0M1xnerGdA5gVeion2YDMBSoMfaeaYTuXw2BNZ0U8QMTAnnNgbjov
RJCGjNupeZk6zpek+RpVXezVl5TXozncSjvzpnLPQcxxs1ciyRcY7e3YRGgKEIzMeoPBjEqPY5GD
HEPyu+CYlT/XyTfq/By2C+8c5SiiZSlCeXOaJudFk46wH9UcDWbxZLk5UgJsfrv2gHKoWZf2OA+s
oVhkXZGcYTC78md0iEeMLVZfcFQOHRBVZHwK5qPezMjZj93lMEmXIzevu5FZqlG24S5olmris6LO
NqfgyOCzcu0MJUB9sFU78ZvEZR1/phAs41wqbF3N18jfm2su9caE46n1AP5OZyq1OB00o8hecFw1
sKA0tWMEQJj9DkpTiDuFdxyWw8qDp7M18tWeg8pfe+C45DrSSxvg+lqRtLPz6P/1DIKCPs9ynCXl
VTwAwn7hfFjC1PK+zPbSI53OEeV7x/QDEXXY4x2F+xQVLm446iOUOn9WYUeI9Tu44tQ3gzM1ENOj
o6LnVI321PYmYZ2M1Kn6dkMDNNl18YT2kWePcfc17mZePmtgwyx74wnJEwf04hklvJICNnZOHYfF
E2ajGcHfy7rKJvNnuPwIFu6KEytPLhtslqiyQthc79EPshljEfRRj6bGghgB+5M6ETvXC2MaB5sJ
NiwW8bhD5rshKnploV3jLPIfJCfK/qtdzeUtFIgIx+u+R3vwVNatRkC/0WP7s624Y7B3qHAxj3lS
QSukzRBj48xdDwWSR+Wjl5drf1MZL/IfyEiW05c1wt6WwniJxQIiwFNLaRMDB1ySOg/5/vEA6yDU
l32HkTkKnJVdUS8suVb3cai0s+2Yo55Dfg47QySqde/NWFEXmqHRdHGRAvKCpXSjTdtbi/oOiHT0
vspSLV6yzfGWmC2K0+4SN5sW1yMnZp3GCdoQKTdZCd66nBCMirJytftD7K7I9M9GVncj6V1Mtu20
Bx0Fidj58KTXW3wA0oaLT6rgdFiWkQKMp1wHxBon3LKRgLCjHe4BAYpNtGBBg/hlckwfSFFstqf1
LI7wPjxyJhRoDnE7O7WCtVQi4JLGwreu2qKpvLtx6OALHdltsLQdvAIgQbfI/Ap1gU5ibd14iDit
9wrSdrnxeyn7uzVAHKjZlEoGfXuEN3uyzhsbGRq5i+a1LI7iTKHsv6KjVzWbqGiEC9i8X4cufHCq
PKwfUwAHekbqRS3dryj3xThuR6p0wcYVg69stLnqzqfgWth+KY9inEXRM3MCq0CQRbbuUKa/0hDM
XuRsEVsaqQg5PmUfuZdCITiCwRcvk181TSXZl7D7Y+ncoFTYNMMGEJO5UNtKVK1/h3N023q7Np76
GBMh206IURaN+sTNENu0yQ89gpysf3TqcyKoXszaXCuo15jNDYve3LVc4GyH1JPmhAOraSJMpEBj
Jz7kSzklpXkxCLVna5dYhKR+2mmuHjT7cm4Z7NUSdz1aAsjJ8WH0GxP9QTUyzx7kzsrTLh5AkOho
7KpMfvPp0fIoTvtcBcXdjgSqHTufY9IfBlffhgVufi7Krz5R8GQTu1nbaJlazrI8zMylAQgqxhRc
VIj0m8q1XMVx5Lko9xzXkL84UxCrtHlR4hLoR1vfr6CandASdrmj8S31CE0wE1QMUFsH5uYMu2nm
SfskDfjuMViDZv2qKXTyZw0S53yYnTcxe2nwm57nH6LcnJOFRyG0xLDPoaC3q+N2cPofUR+ZeDWK
NaeNq8ZePkw41jcYbORBfZ40ueZapCdgYqm6DUzIkqI9yxhhZyyV8zRaA5aQu6l0IB8Z6i3J0AaF
PESrNpHd+ww/Z/hiQqTnHFYOlbmlft9gntMwjnQaTBomIxCB9cYRscVAtomXR6iwZBVJR4lxK4Fr
yL3CE4wDKlYgrX+PxNqxhTZjK1YiUhxW+cSmUrLydgUF6xDdLas0SzGziQNu/Ao5qW84RZJQv0wj
F6bj3FPmG9Vt2MWY6xxEXjvM0TjoAMv3Oin0lF4hOGfH0XddBH5eHKetTKrpBCiZ1LdrAN8MV3O4
sWTUPZqJWXoCAscEFbbCkGaCx7YgIrwJZcdiqShCOPOWei+40R2ywUQpiRubaJ6+EyX6Y7tNBh1e
rYo6bHYu48DmeZbVM/tAiN7mVTWtBQ0W1DNbpKsQ2LlccY3gF2LtmUDNKS3Cw84xC0zEY9a5R50b
oPK2S15u11TrhEtzbCYC1a0QlPVvpehNvKloSiHNUeY5kbXNCORPGJrU/MC/N79NVIJ82FSGAdel
k/JcLmJGgQkNCzmijLNzRGue9mV7FMpnXqB2Nkwq5WuhqnMxo8r1j0Y2LUNe2gkKgEOIu5plmi3E
BPnB6z2zdsvajeqLanISrXZJifDLeMoHVIKgdmoW5na00FQa9vXa8wp2q7P1Hu0aE1pHeJjpmySI
sv6HRhtIVJuhGFvF4bJMnjj3JkchoBb7LusMPw+TBOatT8ZmO7OZkMGLCC9JPJlntfjrciYml/xJ
IpU466PZhXv0Q6cAZ4m6XiKfgSY2scZAE5i3zWg5Ehj8zohDuu4EBjPqvmRfddIJfkrIWXrUwlD1
/okOXLde2Za27a1Acpp0RKd9MljHoWzFeCvXUozW1pocxt+iOWZidhmaKAxLIJPk04U0gXzSoil3
GwNwYtZURZWq2c2U/6Nt1mu/JkaJ/Ga9Z9TNibs6HTnvSRcgNz6Y/IHlRL885YP6eDVHJYZIWh63
AeI06b4OZpb+sYNkIqlKERJHvWy9WpcmtCotNIigQXdNOQBo13owC6OeWh7TisViliQYz6n+Ynvz
XHcMCPIKKSc+kmlGUyQwW5xsOWkvpCw844M65clRnNbzeC3nYB1OwhGRvONwcMkpuNgsj/hAzEpz
dErs7/iYyFM9Z1Xe1SYSxcSaU3w7vWSNaDQgcHzSoXbDIUXAP8rtME6czjDXtckCXxKLMl7NQ6Nj
Oy3Jll224CKjwpWM19NhzkInSbJZ/RCqaqY0c0bz6CN6JUll+OExrUQacV5xEbQUR/jFdWFFLW5h
DizFNFqIcRdIg9QbJFgh1h/qVNTFD9HMJkNfXk6OaAZuG28qpzCr8uOK2X9RM0LWAJA5VeoA6tGb
mlE4N9BxEWV6mGNl8kydWiXoYctbujLaDGPP+37ylW+rgZSpsNX1DZsOeMs77NrS1nVoK6kefEn/
66l8WRplaFlcXR+/3fuvAplIjGuUXagI2gbd9geK1EVpetVUJx4yLzbnUwMcB19OVBgtzq6Pv+u5
MvtH5TaAYyEC5EGgcAv5vtQ+2M5QTmUhHmZR4dF6NoLUYiX6ykvZhmlfoUKAO17DoTFiVjhQRNFl
hzxLq1zybqoQplxL+9ZUeIaXk/l3QbdGlNSESAEiWNl5gLgPP338+O+GyvBSCGwdbNId552G0NzH
OB5Pgf9DZc7Mc3BBmbSQy5UU6t99Fch/ipcQREA7m2rlmzVHh9UKGjhQP8uxM6WtbmnN1HPSxFz1
H3+XKZf/OSmGico6g0RBj+Y9p97N6rKgX+8+YmAyZN4vUqkgTU/idmQXJ01nisHlIs1u+/iL344n
DQuiVvMfwIW0h94sPTwuhx6HreHnbEfmWMzR3NM3MfKInKsff9UbUKwpNgPDp3YlUWWizWS/GdC8
gcw3abd6HOh7V8FxFsX1HcwAuilbhV1r0n6ZozW2q/MGqXNp732dUg7Ih8Ccb1VJ6wbrsjyuomuU
wOlIblNduyXSiUkfLsccjR4xyMcP/W5iEGrE7wigJ+5WDrWu11vTiYrQnV27/olNds9T9BZ2uk/a
WYhcfqcVKDDgOfbZYL2fmIhZMc3bZ0LU2wZLjFLn3Pa+9QBQzHExbgt8ynnUD9q0t7eOACtTHlPQ
LwI04UtzdXZ9b2IRckYCmaxaJ64wHOFW9ZDUwMUOAqe15czHuu/TQ+Xd8SwYbhTaaHDztO9WERlH
5iKM0f6I0lCMyzEK+fl076yBuU1ABUyfns5vWygOuxLsG4of7FGEGt6s274bRJiwK36gPm3WrcKT
dr0aM4KgmwTKC/s1jkiNibsXfv5VuoHdfyEwqPyTj1fI24miawrlw7TYPW4m5+3hPdW4gkxRIv6h
fEeVBWc5CrphjWfVZ9o2b0fZRdqJt4UbybdRR36zFgtyKLhlufPPWDdBcaHa0lSxspyixrHGVZOw
9ONXew075iiCeEuHhiavT4ePSuvrxa9yhH1DxN7/6REc57DtRWwiAuKHhXmN+67E4hGSIPq426Dw
cdD87HR6N7iS8z6yBW5hIJ/fCTlQUElLp8UPC4fzBSliellrsadAmEb50UuEr/vUZJGIFJpQ53f/
yPKReRL7SqqaEGp6GZwq9001lA21cOE12DOSWOOwUbOv0bXCmHkXCmUh35o5heKoDSbfxJUag3vd
7NLY5o6EBUkPPd+pYKTO6kz9jEytLqhmY9lRZK46yWgth+uuKSyThgx6MBmK1WMeTccl60zkK9uM
NCAYhImG27ZveazgpZc1kAVzyxSFa/KLPMQLj0jUhQcLoiiv0N/foLc4Mf4hCi8U8V09Y6N5BtOV
DsbH8/9uwQWesUPyA6R1YI69XdojSXhqYRn7vUk7wdGatMpUC6JVmWD5d3fn4680+/bPi9BEJfBB
OPlCsADBW0ESrp9FdSCOvkeJNOX4EZx7cQEsHuTqpT3YPMHGK6OResPsxCZ/skoUkj87ft++uRAQ
JwkyJHxU9txz+/uPiKyGNDYxl+n3oqFTcJpVvaruwFC5/bk7qE/g/W8XOdBqPxAUVSVUTaMC+Xqb
IfaBTX07DP/oDor5vZ8HZlnkOdj3+pNrxX2zpfl0o0gV2hKvJOo3b+/gZJrtsqy1e1cPCs1lXIBQ
JD0kdBwoCmX5RCCFJ8pa8T8BtU3W5Yy3yz11DR933JYOCNVKqgOmf99OGG5QcoNmSDIKVxjGcMAh
8DNt8tRUgGeLid6EClx3eqJDsNWUeSoaibfacgQvZxU+YVuSWKap6ujKnNfkzsXcnVgW52h5qBtk
5S8+XmNvxpsxgK0lYJByr4v3cYjvJyqqJAaaY5WbIBbanNly8AEpMn38VeLNejZzyuEF6h4JA2Od
+ObMnpqW9oPjxbeh1zx/1+jTZYAfZ7LikaOeI+il914C0mEU6rk2DYXfP/UapfKMXBrQ3zefMIWr
m7JJy0nnVgME0ROryEdrPR/YqpJmL7qK09EiRmoL+6KOqSRlGH+Twf/ukdNYNf1WC7VC9s4a2it/
ppvKTPjq53wLGu3EnMFL7Uo7NAvUzvJTM5O58+w6EGgO/man+sz0YH53m9mRrN2c9iD3XhxTEERo
3KkmqoUfD2n4evqMeClAJnR2bPSK4Ebbb8LIjjfQod3GP0stgm95X/vuwQVJcCyLsPVoh6XqkHhz
dLaEWRnvWi+GsegW5b3GxQj1fcD/4AsSUK/WAipOpqq7w5lMDFfYn+p0m4baJTbNryu60j8Bvw8t
XHSctre0PeUXVL+asxTn0gtupHSlsJWi9m8Nufh7JTrTpzFK4D6od1hvOwrsxb21Wgidq3JOJ3CN
/ZXHrVQcPJy9L4Kl1zvVLt2eSLO8T4mM8dN1aajlraLy3RQT3W7llP+Qi/hnMHCNzfLa2Q5Q+T64
dbmff7Rp4/joMcqUal8yDEduXte3UyDG+0yIFByUbWELYFHi/l6MEcb0Vtt/xV9kICyKRzhqY36g
o7YAEqa1OoMWjDJrM3qVPi3rZo89FPyeMM3zv8dQShpMMTL4auqb2zUfqR57SLpRGLe8LaTRa08t
9oO7qOEfJ1i9u3T0x206y+qsCIZs72VL9gkT6/VhzYIgSeMwg3/pwrUL3jKxGiqlQecn9SPzhRe7
G9fFXpYGC4v0vrz7ZPm9uqBevgwJKwBZUOfeazLEq0do10f1o7SDCozQbN9CBnExPaiKC+2JkVJJ
0lTXdNOD4pN47N3Kf35NsDp0NznE3yYjo7E9Kry+euzqmhoPgnLFfKiEA/Dt45d8/qT/vIaf3xJt
R7JeNJi4kN/mvrNbFa4mA310gA3jdeVyXWxw7HSyHfo8wU2Nn9NNNsRobNgYK7Q7odusPNIZRmxz
qYB9AdaTX3rZR6e11QV33LcDcRI8qvuqInhxVY1qoasc7xpiT/1UjSI8r+lkXGt3cf+Ocko6G6dx
7HabFMkXUSFiBPa8khQ6C9rWzhRRg+6j5TGHLEPXbewPToI6hj0rLKSZv09ioTcgPIbEhAGEQYyL
4I5+GxI4VjDMXrisj9D1Gfw0E+mRaJBOQx36R+1E5XdhRfNuxLQLU278lo+9Gg7t7uOZ8c3p9mpm
UN4zBRDAgADHwNy+DhacIq7otGEBgMx7WVB57sHzQn2NsFUoV7XTXjUfBxWuaJvMaisao011jE1B
dKFbqdUGMxzry+ok3rFYMbH1cZ39p8poPaFLa10gLxacL2I5qkUlbmkXlF8ai0nbSHrImBCqmQ4l
mqIxKixRcEPYqJvD5GVPi8yzSxFguF3QVDnOkqb9UvmqVPjOD+PDgrXHHXpmxbVVh1wQcnaM/4ya
RhTis+TWiFTB2ulsXiCdnWijFZYTQD26nJ4hd+JXz7fC8yzFicihARRv6M/Bh/l4cM3YvR1b2G7E
oJJs9h1rd6R7wrwH8WOXef4lgHM0fzKx4GHdGS3diVzik290XgNfWVWQZAzqliwfkDhFoDfTabtl
X3F1/srb3DulwmxVm3hcrDNq+vmBnp3ipPeT/rEVdnmfoSp8nmWRfW3pSBw+efv3S4tQk+MTTnYA
EvetjFQ/Vf4QYlPwK0F9pyRvb+J/GhDretdVi7/pbLegGFihdYMpEGX1XZ5K/zgFDrujpBhFW7AB
GD31jQy+Zao0skIL3abaGtKLQiJx3gkcoeSYJieJj5nrBsNyd0KLzHFTmgGQaTa9kSCCQ+S3RxBn
2kNeKOsC02dcuqj6WedywCFnmSeuM1gs7QHpZdVBgc2K8wpEBBGlqDBSQfqvBn014VOpwQfcI3Wx
7IlFhq8KRTYMKkrRo4gCsoyVSGd1KymQX+FihPNCQJ0Kes9MC1bJskww+Qjai6mNhmHTZK0EVwuH
xDkBxzUhjYFJ+9+qb7JvYz0pXPPcjKoo/rGf1Yjfnz+slIhSFAUhdHnelcCFC2gA55Lil9GeCDYR
no0PAKIWGuxMGTlV8LgOY3wia+th0flUgx7VbfV/sWDRbidsRrA+QrzkzYIFVDggIRKUv9DUXsbd
84TgDpyW51kpEUNadXTboZ9/WGQa79sonr+nYa9b1snq3H68Yt/Usp93Dy66tGE4OqhgvkXsrtU4
6QaN6V9JYMuvnXSGG7e0rF1ADwTnlWq8HMsOVSivrk7KWTgXClcsulGlmq+yAKrIJq8nfZ5Zo3gC
Od/hA4bZy9dPnvJ1DmCeEkkF4bPFjdzcuzRaV/FSRZ03/qJB1CV3RBb+sKXovmzGwdaXLmpqtF+H
VYa7sPebpxRXxmKzxrDejkTQDPc+VMdzlG6KO7f3RpqJ3AIHpAxKhjvJg63XgYx4mej/z7O4XVo4
0z8ekejdZQNJyk/1mjVhjOo/5Fk8/KjeEC3MX/lNtAi9v0B0szEoTxgROZtL5oVoYYXhXx5UaSqX
QPwc/slC+U20Fv5fuAhwS9PlQlwsiMjbfzMthP2X65qiCEp2WHBTQ/83TIvXISSQa+qlNBnonLiU
4t/Jl+VO63qD8KzjiHA9p3iIOegIpv6Tnfk6JH/5GqJjyOSmnfWuPLs6A2TNVVuocHsO+Ilq2YnR
Dr9UE2DUT46k17f283dRpUGOGdUSahs+c/Fn94y5yGGSifgY28noiy17fQHwXpx6yBqByq4+vbRB
7L4KFMxXUu5mUxOIhVSibXOr/1Eeohfqdw72Y8f4e8F5i7tGncPxSrDisqrG34aczvc0QoR7sKGe
geQqMYY7kjBd6yNSlXHra+1hEzXX2VGL8BnK1TOZHVQ5+6Gesx6eMu6PXZxER9PaZ8gCLi4wzrk+
XXqnui4Lmsal1as7R8n6NNIwsq24yi7jRWWXXkKhcyeSOgXobVcnWTIse7DX1bVreStAK8AHKXnE
fdAmF/a4ZPspKOvt2JY2olpQSlDDkuE2Rbb82h3G6mkVa/OFVnd+59oZ1E47Lg+QK+utk2GqNDb1
BDkzpgOxguAINXZPPcDWvZPOLfAwMZwFjmougSpOZMGF+GGXiXVcSoTk1t6ajjuaXcmGjB3B9tBy
m59DWFXncjVIzWZNcQTq4DRucEU52IPbf88KK5oKEpE+oDsZLBPl0O8RZfplOE/rNj8EpGj1dopZ
51s7bXBrs0VVP8CGab9D6An/zqPCvYkSO8IQyR6ixzwcMDl0MKRA9MJdYBBZiPwdeuoMxrdUpA9F
WoZwIlEV/gI3OITW7CXNeTBO4xkq0dM9iUG5LeKs37luydrLARCj55X7XzKBaeSc2djI5MtNCgF9
P4B4+V4FDfDL2VaHUEsLPhEIxse+qtKjtE5/Lj1qiwlGHWdJFOJj5qyAxPYDg5PWcXnRwZD6G/KI
dS3qbD23V4gAm2F2Cq5/bVu7AoSkjaqO9dWTmX8SezYtgqkGmrMQKtl5Mj7C7lAPhbPk5X5NVlnv
LZVFpwzBQKVb/uxUCchhAlwEQQc7qfLRFvimgXQANKawmUYwIBos5Knjtjyy2hDqgFXN22HGF62h
rIyNdSZBWqmz3IKptJkV3jk0pPMftCTBfFvBP2B+xC5t5IKXn+xuYnyxz2U6XPnzNDnAWAOPpc3u
mYHmXIjCc/e5o3/NVQDOurfUReHW64OacYVkZv2HFlO/L1lUu7tiVeqm8xXQbBXedF2EMom/frPG
Xly6a+ru3WUdLq1gXfdTJKevdR2N2/9g77yW48bOrn0rvgGokMMpGujIJtnM1AmKoiTksAFspKv/
H2ikbyT599hzPlUuezwSU7Ox9xvWelasecN2Ls1LNZbPjgFlbp9CAR9Mn8wmRCSVjWzcjwbJyMNm
RpkVyHgbHdRBlw1BHpe5Fdo6IP3NXAh7uXJReE8HxkBogzdJLFSVUB8lRtDSjSZF6qTLbox5IWAA
ypk1wYPZZm5MurWWTRBVHpwZHYundU4ckAUP7U2J8AD5llBt3+vditjhYaHWnhQzdrfOnOvWoXRH
LJcEu87utkM2I0w/Rmu2jfNxie+G3OJvGk06xNe2aElfqMu2Gm9jW8ESQGyf6JKTFykDeY9dNFqv
eoNsPvNVDLLs2oGO6U+ZHBUSvSbOyM8OIy02QH3SK0fSRGLZ3jPfrQid0rwuf1WsJr/3hhK5pLr2
TnXpWPsBlfuTE81KiwZcjwCoS9s4WtOAP3lcBjpCC9HQzuoN4zjqkSDeerL2eqlQ9E6w9ueAtAnt
AU0sDudOrP/aiezoHmXs+G5j5XVxvCEeMnPDONTFxNeVdOJBLgsYz51aHVPmW2FPDkWFmiuiUmfl
U5+EaXYCrIKjbTW7Q7jVplVoNV6/gY2M4R+UUclvgHZ5avkn0SvV/dKpEQnVlSKbACh+eZkMs/mC
L9e94htJ4y3Ji2iQZ69cAmkTyhe2CP4PLvHTN4WV2m84wfj+jGLQtgjPywt6b6ZGOR1QtWGfyp9Z
Sl9+1d22eMKjP90WgE+WAPNTfR+XCXOIjjJC4/BA08Zz+z19658q8L9UgfjO9L8sA2+/VCR4F8Nb
lf5SC37/wB/UHfMDeD6INpAxv+FzKBR+FIPqB1yGiHFIUAECYKwI6j+pO/wr9q3ruIk+y2L5/aMY
9D5g4sDmQW1JBcK26O8Ug/RIvxUyHKGYRBG4EOGyCp7WcvGnQqYojY5djzrvrVU6GUitTjWKlZFj
Em28F3rIcQ0wI2lbbkcMc56vd6Sqmy6Tue0imHRvEtg63kZ0fWEFCeWnwi41lkHrvTdYpW5G255P
5aypgZkih8PZgObGhyyFcUqbTZIACr2hbe804FLoznpfT4hEC9ssWXYoH+on6JLtcc4Eob2Az0H5
LcsjAhUjZRHo8ER5uKrw8pTiPs7bCRSf8ASKz0l1ADcbdrXJtRqEXY24Y/TVxsuDUpLOJ5NqnxKj
+0XRtPh9XJT0PPExL9ZcZzLwFM+8Yk7A4w34RJU+BWGHUheFNgar0br13Lg4DYaX3eCr6M/D2Ck7
LcoWAoojJPJQlCcgZFG+zRzy6jYWLwrZtZxuSmtj6/lGbvEaLumhsIxHt+VlZsSYryG8iXqs7Fgi
YUToqusiDnWPV55ETO04wua87RXDZjixlBd1KerbDBToTRK5pg6vJ6+OsCObDbv7aJOPibOlbVb7
TeuW58rRYjWcHZuk0TZnwLSpLPUZ23N/JWvzpWMxdq+RleQSOY7aLtCVLG78EjDCrmql8TQVuU6k
puHuSmLlp82wRNEZJW8azIaab4isWM5ImLs7xyZQObTtyDoa7K6+dgr1hVlqd85wW3pFFXADip0Z
q7emlMQdd7VuXGtKJ181bpHHtjSmGy5Ea8OeLkQDh1K+zBnNJH25I8KmOHpFG115uCcvFkv5M6XB
c4oTKECpneOKk/O2EjF3grRESHEF6I54e7XW+k2eZ9ldJIV6gzLcCSKiRw+xXe/yzHDD0hxHYBFq
HURLXcKkHOpon3mRtZV2CdtjHN+1yFO2tQmElnuv0O54k8dUXmwsmW+U/lJ4Rqi51hjkbCsC7JiX
mnfbBu7WiVCYxMfMYwdkCb8sJXf5MlHLJHSLvkWC037sEmsTS+gaGjbSY4HM8QWsXnxoikTcWUXT
nGe2m0f2gCIgkXgOW20aNrCEk2tUB7xveNuOeI1mfdfMSeTLKknxq8HU2TS2tELETtPdPPaWzzLM
rOOdbZZzrD26ERfltvO00Wh8i40ut0k2JnHi3o3YU228XAp16L2u59Z4b3UoykwKkTzRnjST90Ko
Wll6Yt3iXHo3iZLnyVxKFpxEixjbyqvpbQo7JetbG9Jrj7DvZ4+sURV7m9YS9hkZSRuitWf9OHlG
lR3GWk/oHeol46fJVJYuuxZf43A/kNow3vd5yh7VZ3GcGde5wQbhNc/7dqmCZcgrB8+sxY5hbmxv
YbuqT5xshK7Gr+wvYnLmEo3Y0lypS96eyLNXRgkTceTx6cSPj+KFiqvIKtcNBTycPN7PvWu+rn1O
/w5wRsvtV14jTw5+Ifv6yPTcYBZdRXlv8D92lB8yYDUQxxIk+9FDlUsbjbowdJu9R6tHPFjaFH6b
QvxzU/+Xm1qD5PqX85o2x+b41v0y4/n2MT8GNt4HhgY2Ug+PiHIYeX8ObDyub42b2OZ2tCAdeFyP
PwY29geLD2FVAIoam77DiODHHW18UJn9WODxGIB8g+b9YAPe/rFtACv4H+OdsOP/ekcjQOE/KwR8
zZfhO/3tjsYTp5uNLs2DVbgubF8F61rVD7slSqZjEQuL4JkaL0Q9jvNnq+6cKys3BX5NTRvvSN0h
H7hrlLfCKdRzzmwDE0ZkPNhZlkLraWzy4jvTuU4Kzu2Z5N8HvEDFLschcijR4Hysm8iFg+FkR6Za
YT934hNHc7YHe9GmDJDwxCDAbpZ3tcmVTUrqGdIwKFT3qLJI4KqK6hQ5RrGTBgSaqa/OtaXjBi6i
kiylMjlqQzceqpT0ZKSLtsGzETvHUjCNAIA93dSNW+yawvWu5i4GIubYk37BHeJd4+JVz9qcqmcW
VsqAMcUQWybnxQ7TTvyieanHnZLfapMtz5GuPSzqjFrFxmhXCdNTGCs0xlfWO4RDlzOjBw016aZF
6nPr4a2jC3OwNprW1JGHlMod5N3m8zjyRYzWwNWetsUOnFj+KMzMFv5UmNmuKads73V9H4zmWAaq
M2ts73X5XLtpdNPLZLz0dbq8YxaaX9Y79RKD4t4Tad1e20Y2XahL0w3SlXQrIkue1MkWn0pDTgHO
bmdLtvqwc7ScHwMgOdA+kkWGatR9kZvys+IZhMdZGM295qRX8cFczT4yxQyZqzWXrhWdy7wpD4qr
HAoajSAWNWMEoAM7IQbrK1nsEEOzPj31tjnubNWLDnqZlLcoORd960ErPyL9i5TQYPF/anAAP8Vz
6r06ggjJLLWbY9TQTjfDKB68yEzPC4KAMx0pZmJ67/Q56s3uKgMXfU9QZLMr2cYBFsemuLemgljM
nOCpyzI76TmGervFClcUPsMFNs5poyHe6Cnt0s4Yrmw8Dbdey3uF/S9Mv5XH+i6nqbmObLvYz5M0
TjYSSUoVO32VrpO+iCbR8Eo11qXEvLqfknm6VpXBOOmjVe9bWcc3vVl3D9lieNAUu+JQKvLQVNEY
+UT2uaAkG/0VKJ19FpDaDilCnD2h9wDNy7wDi24m1k3RjCc9GU3ejqIlWqAP2Xf1b4hU1dmfp1wL
9SZy3oQxfrHEVB7iuRlgpyJLrXFnb1GQQB50Kv3JMPN3sHUNcNfY1F8dt3qoBwN3dNfMu0Wt1Eud
2DAWpyRSjhagJQI0DVe9TgbUEtD1bPFG5mF260B4w7AKffM9jdxkVw0rmHFJi0c3pSgaDNgJKgLG
U0ZeYTgaRnqwZWEHGD3Le8fo+k8sgshG6AnIwVN3iAn+Odaj2OGPwGVlOyVAtyLLLygIizsrKvY2
BcbRJi/9YBJjFnSNzH3JYfkKQS09OBDCt3NqiIBVDIzHasruaMvNL8sk6o2Rs/BdkpVE31j5C4bZ
6RGcoHIhSrLe8AtlZdcmOSHxttbcKu20HQtbnASjumzjEe7eZ+Uu6kb1jLmj2IniMkTR8KKsusXc
NrRLpsbGvgIr0IHuYftSqUP7bvQz3wmG/VGdnF2tjVMIWxe0fuIY7kvvYF8HarUUqT86c42La45v
lq7Od8rUgy6fZ8vZtMNke8wvocrH0RxCGGVhuNQSNB7R7I/xMjNvL4jQYrIQC4459vW+17TqKW4E
dV0VqaGmKS+ZnqO0i+PFCNPCY+ZhwwTw0MNvQDk+M5BSD4XaqSHMD+HrWV5/KuwEk2+deBerdO1D
11kThShOokvaK3ngONUGN1X3ZmfOtMtwBNyqHdGUq/VVvR7cWt24ZEbhTXULO8Sz5j153BrXINuS
Z4au6VW5DB8Rfdp7bsRlM2fdQFy8mfJWGrOrLqPF6ikPr0pptrd9FolzhmP2SYnS4rrLyyastS7e
EkURBwtlXWh1wnhG2KTv7Z6fso3ceptMmf5lcWJ5HpGTvJmGWC8XuZgvNGHpI37nofAZwCFjz7x4
J0E94KomRVbRouRW05iUjJ65lrViulclL32VWEswz30TdpPunlyG+hnalDq5gbAz8kbTxo2noKnm
Nytx3caG3FXp1B9w+zePhYx2KbAWkJDRcpsPhhk2AxwHf+5V+iapVNS/8bS1BbRnbYj1o4cM6eMo
dFCiTM/hI3Ddpjzip45F3p6GHq95LlrvNSePNyirUX0pIlYInEwYPXo9mEHM3y4yU94bvBTHpneV
LUSM7gayU3GwTCXaMnTuLsU8uo9I6qOtBoH2PhlSlS/nRMpmnhV7ayROe93O4lPVLfO7ukiOf8Q0
C03nZMa7yRi1YEGLQCevnKxK1RGFVG06sdqvRxznK5tGTTnRUvXCcmdlYGVZ/EAnBcE/k6KYCXj1
+ouIRbGvEx5peHJOzsKya1k6O5Ervnptkx+GItGZ6o/KVaqX4exW5e0wVPm+t+Sr1RLnwlkLiJQ8
Ivkp7ymp0+SNvI2vWNNf3Xq6I/2JgdsyokozRHloK4d2R6QPNMTNsUkc5wESqf4EkrF6Z1YyPWMD
fHWHylZ4q6fYNfJjg4NOlcdGdGLod4U9icU+U2pVsQ15FVd5mII5McNVoHo1AUkO5DhJ91b0YoYb
ZEdfSZo03H0xjPzimADq7FnYa22iWt3JmapnVyZNfU4h0NSvDQcotdfKBZlo/AUMkPLoKnlLu5vp
AUVefiIZuDrKNnVeLeLVPiI2ibPbCE3VyUksrX2QyZJEu2LJCyaAUzcuONXj3so+u8nUKY8W9l+L
xcoAcJWmKq/xQ6ZGUCkqbEFIudvB7p4ZGI9YLQH0qjO/yT42nydFH/cQK53NXPbymr85bT0AnhtZ
JMe0Na8kYyxWHUpt+XnMLaM4LO+oRR6rBS5qgiLhyA2i3CdKGl+xDdA2mErm64G59nXLb/O49Cx3
knR8M3NvPrbeOgcyFbnTqmmGurqWW8aiS59RWHtK0wMbbIydc0CH3cPUwMwDuw0zOCtQoDPmpVyS
LsiEEh8WE3aCjKLo2JZ6euzV+ArIJJlEjtZcsarogzl2xEdpkK0NhWDepWJIt0BivBBYcxS2aVGH
Y2Q2qDoSMCs91vINZCh3L9VGZyOlk/2tRupXU8JJ2TQYsSZaf6wWn6Hi2u4z4x9kA+/SdERuPUaC
vrnfIORPy+Kfpfv/RDhHiK7TQP3nrfsD49Yv6FG//NzGff+oH32c9gGnAsKYVRHCJ/s+Z/XUD+xv
gZutY1hjBY793MPZ8MeYeuIjpMtaxdk/ejgTujkiFySeMPcRg/2tOSuy8l97uLWMZV+MjhJLtwph
7jfVDDJfQ0mIKjkgNO+0ZsdxzVRwzaCheO9LeE8+1DR9vOr1ed6UncCd3k3GDlecsxelmeL/jroy
5IjSrjth2g9TrqJyTVXat9jurM3YYneJ7emlZBYlGMhZxpvHM3qAcFxspGeNGwGiNXQi57Osmv4w
wDHcWWkVB7abCwIxiIJcll7uZozdPst9s/YXPL1bIBUlOkOX2WQ21y8EV7hvVduVB4klequm9lZ2
jgPmelA3A03ljcaNvq/mtGBJYwyoPjuTGRnTj/ol0aTY6YOyHDuo6aCRdNv+FLlEuvlT2RTgzdo4
Ptft3D/mWe9eTdmi3smx1YOqQBoqNe+sQmAL3DKOPxZJt9a8+bCHkcUGLhVQaTO13bUOku8x5Uhp
jflSAxTh9tCrra3kMxDHQbthQXyMqzywUA/dwm9kthjpgG+4WsMi7mpf5sK6b1WjCkfBLpMJlHkF
66g7yG4Bo6ws2pHsTOVYdFUT5rpYNhDGlqBj8HMWNjaIEBKlArR6lA9a2pgh6EHnKo5Ka2c2WrnV
CaPhs3bLpRn07uykCu5zqT/YUzlhV5csiUeQOAShdpclZwo9znaxtSV4XqWZ5jtWy84nGU2bppo/
qgDbd1pjZHtJJbLDURU9DQCgthmcnM9uaufzWc56do4Zo/qF20yIlKe+DN2yGII0cd19Z7ftVnDg
ByAh9NC1LN2PXXaRoHC8Ty5Lwq8xnI8tjQfsKBGV7MYQmlzMeeyKqzlr0Hlr2SNFzvym2Fx1frVY
6hkY53ByFVVn96fyS0496r8mXmX3euQGyZK7x0i1qxswfPW5GLXHZFLYASiGKUgqrPPLVIMMhvEy
3MCQ806mSKGmN/Ta7YYkcVykUuGO3rZdvgy+J8G6bRawYkc7XYBF6YPHjLU1tonZuBtdE0z5RK2X
+1nSL1SLRxmim1KtNoUuy8BgAalz68RO0GnMfyd9KW8Vxdp7zDr9RFbi3Nr6W10IJ7oSuF+SU6MV
z3baOghtrR2caE05dKk0I32H8iHLHX8gtsd7X3CqpyGNwXKzDFN320ndLd+9CkfdlQkQsHJ7+Wg1
k3HbEuneErKYOw9m1GWh10otjIvKO461o5e+F3XFHOD2aO6aScEQhspyiPfUjHn7qBcj+KHAYg3Q
J0FlO7VzrDrL7RSiAzNdpfa1ed3LoVm2YOsquw3rOFJfl0SM/QbwaXwtZnSRz3QJBCeEnTVrl2ry
ZPSZup5rM12IVlQ9P9FMxQxVWd/zzrVy3/XQ4vlea2r5ZhoKFpNqj0DRUVj07l00CfXBqotRIXdA
Yh4YZJujmwE+YJ6hEHhP5dxYbzmiKd4p6qzFB/JJ0B1U2FBuyWg1P88mk9gdWymkhPRjThUMSuqR
AqWxkg0rK+dLLkXc2j4xKNqDETPAh69esCRWR2TJnH18xT6PUK/qXodOtYzTzPAHBAP1jcNIurYJ
hxCJ0Z/yYrTUgGRTxY+dyYlDFbDiDXCJaWuZI/8XCUjmtxav8cYmSeiBREz91FJ4tn5et/RrS+mN
O4yZ9hkWtTjkqcdzP1lRYOWF2W90aTg7iex1VzmDu6tZ7t+uTuYlhm6ECNaqr6bESk5R0zjbelxt
h4XpOjxUA6VmIKFH+n1m60fXaXcMmpHbu33G+RXbaUh8IxFnBDeo9w4JqWgS2EzAm7cU6A1Vde0k
sr5zBweGni2GVyuL9BkuEX6ZtSsoRKsF+dop9N+ahuVbA4HkE6gcTQV31DqpMu3tuHYc4B5pPvS1
D4kXKEeTmrmP1tqlmGu/oq6dCzzw7qZeuxlUCepxQD70vqy9DlykoHPs+MDRGRG0nqovuYPDoCs9
93XQBA1Tv/ZO2dpFwRFazujyaY3FlAfNOGcfE/anR2vtwExaMRbyJiqTtT3rjURr/Gzt2rK1f7O9
jBUhqPiuqBrAVXV/QBxLcdpWy84aSprATGP1s3QKVPy1R2TuS7vYrp1jSoQvi1DDCpoWhfG4dpjT
2mvqa9cZ6/SfzdqJDmtPChOIpQo/wJZIV1pWjaEQRyN9rPGtpR3W7nZw9f6MOUb7MkjCbPGqYtbS
Im1vr50xKI6GjR/dcrP2zVnaNCED3+I6X7tqufbX9HPtLa5k7wqYZMW8pMquckRGO2Ekw3VeW8vG
0gt7X9C4i7WDn9dePlq7+ijSPD5JZ1MJrE2/XPv/ep0EdFPCUAAIkXuLBXHasblu31yGB2LNxzAw
kl/ab6MFc50ylAjULvk6edDWGcTYxTTSU6nSMNfqIVHj52idWWhVqVI8OI6vKDMTjW/DDZUxx7TO
O8wWeoqVpurJ+DYO4fYXwaQYTUCmOuOSSesfFV2COpEdxiawa1PorROW7tuwRYCZ3Sysk0gjjPV+
I6D7O7av5rYWM1xRsZ0bBJnJFipPHaXWmz651BQmsEbfASTA7dbmXslTZc+Jc298l9/EJZFDD509
N+nlnyXN/5JgBHHwL5c0wZfibXxrf6nu//iYH0IK9LGmZ6IlRaeAPHaFlH8v8B2LZCOHICK8uqZq
r33Ejx2N94EanpKYWtWCPrFKLH7U90hx4YewwgFGgZ4dAe9vO5m/2tEgyvitvl8dy+x8qO8R/7JC
+s2TmGcEurARFPuZd9JLn/VVE9iNwbp/QqqzmZy27LeNmG+LGt7fpkhIhFEdD0mnislhSDnBEVlq
L1EqS6x0VW5vcHmMX6beVtZokowRHTuHIu5vK+pKv5XFR1NpyRGQuCCq2OswfapxiELLnn1exHRP
qWndZz1pHZR6y3WRWXToriT0xoGla65m8vZIpZaTZ0IyieIUUM+SVvjMUtrTBA0QNKLB9H2yst3I
N6dj1bGbA5KJ6MAutr+rvNg8suX5mDlCeUmLkvAMUdm+KaZqx0AhptLDBdogrrxZJpyr5dRdBjf+
bBE+x7qUnxQk4YWgAgLvvDwJZstQ/Izooh34va+ctimCDa+HBodNNbQaSjpd9NBCF756MugXG6Su
nzr9ucf8gXKChBTNfUCid2ZNz/oV39AoFu1qguDD7LUamHGO63+BGJnLK9NtXuDJwLbU+gkBW/yR
dKDDOtLz1z1EPucfhbXunOr6HmDy8gocXA0aLJUBVlO5lSqJNFCRNrwFHyYjCiMns/08stdvAQCz
xaf2xNrGLQ6lV64o237IUW51XvFUz9J80iaDQJc1tgi5grHFEs8Cucctmqjl125pblXbXEAvK8ee
AvKtNhkRNeC5sJ9FurExmoK4V725pWDZR+7i+q7Vi5sZHteLmbsPdpfWu3pCQKx1M2OTKHfCBZPC
3hO2G7aF+1gsjSLYDoyPsRnFRxOou0O+yqoV9iL5rqh4OTaOUI1Lj671ukxFojHgTCaXYYpYwiKp
7o11m42du00CvTbuuqL3tp0bIUE2EpBjPDl+RqEQJJANNvBXhbdrhcGEMG40DaPgXHP7Wq7fI4St
r3Vtkic2+z2czlaxHh3oVSeztNWPJj940KFw3pRpRqcCNLeutxpalZbN4qyewMxa/aFmxO1bgKXn
r0plLQpilrqOvs6eM54LvcV9FsO6Ir4mxQREWglz8Ey7/+eg/18OekYmK3LgPw9ynmd0M1X8yxjn
j4/5ftJrqknmnME9zVnO5tvh0P5+0pOezR8xkWHS+H3I80Mxx/WAhm2Nu8a7t+Ze/99Jb5JTxxgH
zDzDatxtXAJ/46Rfd+1/OgSt1WiE5t9AP6CbAPwNLpuf9XKRHLXUisR4LUsE1AVv6U8/vRrf1/8/
x7b8ymf49y+wmh1+EuS1E/EWzcQXcDlJErf0pfeWDtepR6TZ57/+Uhav5K8/DA6UVXiIdQLO2b8Z
6Wet0woL6vU5s4pZzVB6KToEmpnZJ04/6yNc6NgF5gAVVwUMy75g2dSFNafVEb2CiMvPtahdJ76J
pZkQcLaL2ljdMeiXJEKqblpeydbsFPOk2s1yKOB8Ru2Dm6mgCU2ljh5m0W95jq0jCb3abSbqjFUa
5S2R4TokPN81Wgs5IOr4EVwrWrseaWIpkvxecLkMLRr8anCwHdQuWqMU0RNbH6kfW61JH0H4y1MR
CUmFOMBe3dJfFEZ5chimB9ZkL9cEB1rjR6VGTZ0r1HyAKoDn4tIxjRtTIU/tlPVeotzDXkjNKgQF
ifQLnjODqSnaOeiDu90/p8b/cmqABaNg+s+Hxg+f1r/qr//iHSbLT7+Kbv/4+B+lov2BvBTceubq
r+F5/3MW7DgfOFBcj1qQg2qtFv+sFV2OiTX7wwPEQn1k/zQLdj+4awALf8iAWWci+XdOkLXo/Pmp
Qy/EGWIyk9axKkEH+a1UnLUqxzs7qXvg+Zsy/ooX5maao0PmukFFwnOZqkdk5SHX74uG6DEzuuCn
F+//c8as6aH/9i0QSKVxjgLz9bTfptE1TrPGdWN1z6CVjtB8mb3mqhvysCoxCiDHVXuBBLaJKyS2
0blB4LfDLc0sVH81iVNcGC0xKjqri+KntbvtmcM0DKZFQmq9aQ0+i9NAGZi1qc07ufT8JUT4FQb+
/GNG/OH6j7NpomidH7sFAGmJeUUJZ8vbmzXZ6Zi77SuhDhXTWrUnH0xpOwN+cy43s1E9zS7xBLwn
9hN71tJgkagbp1iODmqkBfwEvA63cP3UVVCjZuCysSCFXX7FOupCvSLDqWLqp7DDtL1XzVDCLkYq
3PEdUAj4nm1syLrCGuD5Khnbsi6CYSo3rczvJiV6yMTYhjmz+KFvPlLlqru0kLdx55xIBf204O1i
ErMR9ljsIKG6/tgzRTWq6r2cTBWZqYsMRB3fKzMOYlt2V1U3WuSTNgg0O77Ysk1z4yYuCfX953D5
Xw4XZkAGz+B/Pl2uv4z/On+Z0vf656rk+4f9X1WCqE81yXj3uAF/cXXCoVkLFpsVErw0GtGfDhWH
D0Jev8IacAEbJuXEjwaU/CyePOyRGseRztbq7xwq1u91CfZuaLYut7il4Sb4ndchMpPAGBD7V63O
NPwNcRUhipXpsNtWE0+pPGIBEevP+9Sou1I5rPJaq93g4an2NUqqHbPL+XNrxJKVu9pYG7xqw3Ka
mCB/EW3hBKTI2O0i9lUf23nHjVmMs3mPs39xZQzXQ9cbuDJO1TJ2mWPAXmG+LFni3ahkAbC5qdm6
EHRkA1Gc742qhYVmj0OvvhbGuGZZLCZznk2b1GoFbgsVDYEyjsLlX1rzkqNXsvIpIUOzEo17n+jO
UmM9WEs+4htLs19anNxN2T10TAS00GX0WqjPqXD6BVVHw8CN0DCVgNxTCitAhosq3hPGtVtHNPMt
s7KKMgF7Nh9qz8rysamYn/6BnfpHofvfFLo6T85fPYCk8LXxrzc6/uT1Y74/fa76YR2tgOv69qSY
a3n/vSdwrQ/U+yxwMdkDofzVU/3n08YSmLAyngzwZzwnf6sH4PL//f5cB1B8MtXWsMJa9m9dgKfX
lRvVbrGHQfk6Mnj1+y6vQ7gML1Aw71ukE5UqxYtbai/zOGpb6czbbhqO/ey44aII/WAgOT10hbf4
xLNZB0/mxY7LuAkcRSCnGrz26xwNdlAnDhQot1OvlLhoPjKGUu8UCDk7mFIyMEiS2DRumm5B0iP1
jJ07hknu7bikTCj68gTFbuSzQb434IaHnaKjMxrN9qj27crQvgHkCKuqN3s/K6ZD2znLxeoiK6id
0dmwDpUPOluWTTxP0SGBUuebinYZF8PadX38jHsg9fWRq84pi+Tcq6l2yliiMdyq0lvN7trQQoh4
C/kE8FPxJNGCSCbJYLchh5TO8IZ5jZRpYxiDFoHGp5SZ0ikfzYUp1EJ8RiFIrkLNF7Zm6+zGau42
o1lMIeOZz4RLGFtTIqdPc9tcw6LfdMJNNsSaHDH4lluGFWOQLVisl55cJHb9pJE41V0pum3/DZyh
3ESr/1UqYto3hofXwKm1O6/Ri5d+sJpnhj9bNjkX5kPlXW4xPE4Lt5V+5iJ42kSyOLeNEY+hjul5
IyqRv8ilTi+5kZAH3YHAM3CrjH5Ds3IvDCW6Jz7TOpn5vDAPLy2IiqxgyCVt0uuW7dgL/JnuMx4q
72kqDaDvdS1HUmEd9yoZPOy/IznTQpJN5oxw66rCYKVV6IO17w23eXXYCdubzBmKpyqvyNYu8FEC
mNGuzQqkhE84Sp0TrNS0V47Q3QC2jcaL5+lskxIJe67Tm4qBXsS6eeEgPgplYYwlgJkKJJ452zuN
7p4M57o+zdxsW310so8O+3yoTxF4TpTd0VOmF/W9a0Swxcu0vketrF0b9lSfzDHzrtAtZx8byNZI
bDQHi2SaL9q2zFAq9ziMb2cLh4jEdFH5Eopb2KXAPZexbPdGPzKxt0hCClqWGm8MpYon/KDqp1Y6
xkExDJltYogP+3jFNbfJMJH8AYl+mOZ0DXtgLTjUVnUkfjelnkW/FRAcMN/qLAueLEmy+N7qBn54
McfzHXJ5vseSIJQ7vJX1iUQ+O98YeDlDJOl8QmaGiQi/2UTnAcABC/XmNeH526VABxFuIjHCX5Ry
W2JcKp4arUqvZ2F2n1OxDDtNGs0X4qSm20gCS/r2nWVR1rhbZA58+gJO0SVeEpZs6KtIP4gS92Ku
CwxztYQWZWIeK6uSD11mjhtM1DYz4/UH741yvpul1T86U8lfxMOmH6zhD7xpPYcqsV+7bDSzj9/e
acyF+WpsHgdi6WYdCuRqj0UuWd+MzUrdSuIMXsEiiifTG/XnsVJSmHCl6VwQ8ZmHOo+mO21CX9u2
zDv1WBLi1Qz8UiW+2yMp3+vGNRphGo5l/7l3khTRbW3fQM+YT+L/sXdm220j2bb9lfMDyIFAj1f2
pChKohpbfsFQWjaAQB+B/uvPhLLyXqczr+vWez1UVjaWSIKBwI6915oLr981Ymp4HZolkosViZIw
dKMvoUUvGkFiwnBnAR8YfcAr+hPovDzmWE5uFB4IT1aPKBHDfUXXcfvxbRUD5tg0nnSw1llEM0G0
fbCuOF8RT+24Z9FoJ1oRfw7YyIv59d3CzffzkVU/85c0CF4D5Uxrq6nStZbzRZfJpad5j2PsqW+g
PPRu9aVMGUXCZViHwa3VdnfmEN8n+O8gHiQH8ly+u0N4A2IWWBL+yNLyr6O2d3af7HHuvcRKe4zp
x+DsefzCOqJgIoTZqif4R1ZZXVueYx1j2YopZSq8q1PLZw389+L17OGZCNDt+DWmQb901mkxXUB8
bYaRkKWoOtmlH92L1hjvxGjJXVDFEwqSwEtAUGQEsYe9s53IXseej0i97+k/t4iAko2hxHsZ4+xr
rG9NCYO+wWN8I+clusIqgB5Z7lcl2kMZuA9gGkEe9J19hyIzejVi67M2gq/AclEfl7rYQYBqkbaX
/dYobGhRGmDZylJWz1HHqx476mVA/nJ+L3p3jS0fGhmiv13djo+l7OpT6Gd7m3xAUmdmvuDUE7ux
6aKVHKbszIzv2ZsQlvgh8/VxKo5wSOzDwCa8MSEmcMjLYNSGqD/jGdVmVb02ZseAGKLoecpM/0Rz
Kd3LyTNpJEevpiiaNcypVScmTCH1tU4D/1tqMUlxhsb84nsGrosse2qFlm8obcn5kb1eIWQP1ggE
9SrSYXtysD2QfDLP7Ad2nx9izASY+2Arr2cyHMPosSn0ezK10dYkSfECxGKot3bcp/jMWwuPABEh
1Ke9VZ4r4V1y9vwHlhUafS8S9zYqck7hAKDXBZjOQ1ZmzEqZWpNsY9XfNIS1Ldlhx6mAYWHX9VvH
wGnTBCRESdF/NgnKwAbJ0z60GndveN1X4nhfET3szamJngdRTytCZfuVaw8ZiGTXuFUOmsepJJeO
25BGfhl/JmFF44q3Ny2wo/PACWBLkRC846Lqr76biueMTjw1BJO5tXa86TQADkacjeaHJK1ePksf
T4CjneKbZmbyrVUKT6cqfOa4OtogvOh3PNOHXab52biwt2R5mxc/ktUDZqyR9O+GysoGmzHUKrjU
fT18Kcl3+jJYwr542DjWLhXWSiED2uTcRezkbUovMCndZh1lRYCMZZTxuR/xNZy0FYlxBaHKu2C1
7XZB3DC2boP4pfVG484jtWSNn3Ns+BIZl9PnNLY94NWz7yqHFVMCgQHSj5rUmQceg2NXXSr0iCc4
90yFGrfYRrqJXsImba8DgXlyOwOxJo8wLI1LGwfukUoh2wuzarbpmEd4E9zK2SZq/F4WlnUnQOM+
DyodDgifm09e0xK8xV64ieeFYeIPBMo75A+b/kw4E1VY0ffGyazYwGphNYcqAjlVq1auZTRFO1ze
AW8rb/aTk//ua9oUWkXDXeYZ5q2KSkWceqX2jcWcshuyCGWQuh0r8m4MYx9bMV6EYH6VSlX1RhKo
AjG0UUzRMrFKYZjuCgfHcaUyZ0+83y0IBtTJlcFjoGPI5ea6v58zarysJ76w8vrgbhqa/LGRejgQ
I2m82i3WLSwL3wYf0XnjTe0uJM5o1+XR4hXH3KZUmm46NXOLgwVdAWq58gStEPYBPqzDblppc3Bf
7Hrcj8MYb7Q9P06e7V/G1EI7EwRyP5Vij4sIH4hABdVX8TcQh3u75ZHXkwqz7UmF3o7koJ3SXug1
monoODTROY2bqxO57gapuzySNjbeRDIgdWpx5OLv8ez5GmbsruLG74hC7reyXijm+6wgIOYBZnXD
BK1b2B984IUEAosJLEj8gQjJ/uCF+B/wkJH6dz67H1AR+QEYmRbWyPiBHXH/YJDw3AZIUnzASXDI
ASpJMIlALfE+ECY8DT+NQE0ME7pJ8cE5cbrhMVrYJ2KhoAALQijYu85t686fm9lOt3PtXVNMu5iq
WgatC1ElRw5z1/hQVvTCW5ELeYX5QXs7LDSWFCyLiidrO7iQWoKF2cLM3jmh/h/Y/UC6hAvbZVgo
L/HCewE7a28mEDDg7pZsqE6+DQsfJv1AxcAtPhUG9JhYkjGUNbpc9306rqOFMlMvvJmxxX5iBuET
aTzjCr/jzbzQaaAsvaNQ6hlBF8iU0KLllfM1ISthQxRteJo+QDdwByj640m1v5vO0L6DrpfnYaHj
WIGGi7kQc5QMH82+C81VQy0DUKdvs+P8gdmZ0fKdnVThSVooPLky81udFF85gJKnU1lYF2n6ze4N
lp5qkwLzaRaqT2s0xbvPMIM9i8SdHRTRfqcWEhDli7e1LHu8thH+Gmqgq72Qg+wPiJBYeEKII/BL
LYyhcaENeQt3CPdieZ4/YETN1OZ3Wdn47hrac/J72WjARdHCMCpEwqPAhOsDEDENKuqAPAze6f6y
cfSxK67pQkRqIei8zgslaaYHU6/6D3iS9wFS6syhfCop+re4ngOcRm2102yMuLnnYzphRahBY/KA
nrNLSh/2VQDf33iNj2LBxYC+VlKi2SGYlyUUU5TIKgCcXKZh+4Q0Q8XRlvl9OdvMgXkOztN6TBFi
ojnSLUjIRvffE10UB99u04NqhhrvafktG3Fe6SlCYWnrc6a6gnOWCq5eYfb3cdLWV5xC8yZDALCa
pWNg16mYeZM7upFhEJ14Y88c/KKNHybVDitqcMzB4KjVf9uu/39tVwQxv+r6XCrVJv+zfuNgm5Zv
f229fvzon/Mc9zdkfZ7POOdj+rL0V/9s/jg0URfGHjPZhYWy9IX+1P7gzw5gpKDeJ9b9Y2jzf1qv
Nt0kpjxI9mjh4B//j7Q/vrl0e36YCZNFxHwB9Jy7WAwI8lm0QT+MbP1sZLPJtTyMoA8gdaFk8Tcz
erhhY/Uq5Fzb1yDRAtNPvCNaS85MiNFDEnjhdZZr7JSkZNrzWOBoc6u4ORg5DkS1qnu0c4wgbA3L
0OXwEtFVqKtWXCqmtsfW6ZDkoOpuXvPas48Eb3PQGiTpdHRn2QzBJAXnMImq11LTHcC/SIRbDxOK
7QkD5BntjYOQvxeXIiwMoF24ojxMYFZQ7y3IKqh/M2P5EY7ySGllykm5aREPYvS0qLuW43Grg/Ea
jy4C3lSMVyUt+0h1BZCaJ6+v7mKrzKpT5aoqOHmhr981eNOnvCxoXIiEFEVRxjk1ijNx8ofQ2a0B
lPMx6tBByWtZsTpgqRBPS/f7zbfG5URvdAdOUfbzPARog6lTDto2sUl5hRaEFBKDwjAqpg8BvTVd
N01aaw4JEi56Hc76XVI51PTGK+sp1Xn9akdMmlajrfhjzihIN6hc922K+Tk6ELwBVwy8W4IEx3vT
jq0nGQGbWWM3Yg/zwpFP7WS8ZpDZ9WsuTT57mLuI0bvBpBR1Urpw+AEu1DXyHPSRWKkhHW9llPZH
vJYZ3nefn/GN5Xp6YyRjFMw44Tesa/7NH19ojiBKbeI0Cl+sbvmGySQBboiBQH/2pmoaz0MdTWKD
715iO9d5lj4YuKXqVTVJfksNSYQBt85zlKF5x3UZ0DMhIxqNPMJb4Bju2jf8GAVpWxD2TvWSmJ8g
1Tj2joecwZF3mL8ncN8xiZFq/sJE/drO2t1NZeI56zyi8TNbWj74PTo+rIYNCZmisJ5KSCmvCyaM
VVuw0JEWd/h/ceaBPsNzEdMcWZpBybKIPjpAiTfwz37bsxospflmQ7vFih8iDztCe0QynoOsaUjg
1Cw+wyJiO+oXXog/1DzN6VIg0W5rcUnoeQ7s7yNfMBwBDotBGC/DC4lr4lTSJEzXWZjnzPJYot5K
cFueqxru0sGXES0l2SOy4pzB+07njjZJsTQ7ENoBoIYSx4qJRKffRyAyMa5gcDngfFgnUzjWr/SX
RjqfrX0s3K5+DYTml7WNSZypaxEu4/DMnPo+3NaOqF9VLaOXjyWcGj7XN9PVTbXc7HJZpJHXj9fB
7rgkA4Dx+5E22n0xWzTVEklHBFx8+MLAiQvXEoVtryEmsGA636xuchyRrIDlliBLnKQcvJHNeko6
vmyTjYOJSPM6+0odOMGgi/c6Tzw5QxW9GNJEAl9rmfBkRu+xznHWYMOtpnA7W7j1yOCj2BrSgo9D
nDjB5IQWAoqe+FPgrVhghs1NjhKa6xNhDnjqifvaT+aiJqSpbx99DKRngjfC89x4fIVtOvEbqlog
0c0hTOBQ9HViow7pMWUwB57YTzn0bMy89g+eq8ydmdNWRCJuYN9IDLWw0Pi89qjiYTfrqUsQb0vu
MEvhY0ZmyY5VWNWQXCc91rc0t4hExJyxtyfuZeLbnWNQZgbNJOJJYUx5hXPMsp7cjZYtwzQjbPBu
3XEFC2fEgtHwh6wka14zM2oOIZLtfUQo6pOP0fbiMSeLdkQnqPlRg3h1DmPHFmmDCTpDK2RFGSGS
aI6ohniKzHmuSXsjwHJrlzTUTwUlHI7tOd13DmmM637gWyIHzXnTqcXWjPeANQX5iQU+eTNfq9K5
+2YOIXf4WArx1HSTeJIkiQLAA6sE3hISRLYTmm4ZJtD6lWwH7ojCa8QlreDqFeQ3EnEP4Cna9rg4
uRNpG08QLRW/3ooj/R5nFT3OxGV1Azh7Au0fvqjUFfLGqTtCaYVvNruPNe9YDj9ktnxmumnL+u98
T1y6tA9fmGSi5kazxUv0g2jah56Y8xHPgGZ/UxrRd57Yy3oMl1YerrPwxbBnvsg/tjSpoY9uan9g
KbkRXXkUFOAAVw1gVbWthSEI2uDuyvHcY9geuLwYdnYfd1zRB87Lktwl1mPjqmT3sbNWVSK8/ZAE
zYtA9F++DHE8ZZ/cYUmczIFppGTUDOneSVr3LYR4vpVdUzyIpFvCmIifSMbwqGrCnMBI46JakfrN
Dhzms7gMM2SWVU790K2DKqhB9iVJKZI70kymA9uPXQwbESN1R/1QlZUApj6HNwW5C8nK8qORI69O
w/xhlvk3aaaLdzdvjfiFRylZzS2xbienNLlrMihrF2a6hdokbDEVuTaWK9e4D7z3qixeqlioE1hu
qnr4lQNuLhJ1nywnOFbh8iDSXpk/pVNc3/CMCe4FoRq0MFRv7xBtpqtGiPYCppiGeId2Ejlv8pwS
vwEMs4y+NK21heDanDXpLWvV+nQkJPfAqitEAeq1bZl6JV1940vaPdG9mdCpCcP2U0nXpSYrZ2eg
/r6vnX4lC58cQmRrn3C+oTZBhVugzhWMINhVkYphQvFwspudtanNuthYnoVn2tctni4PJsu6Xoxe
4sPzlS72L8PJ7F324QnzkRKbi03MlWShrg1/mJAFl3UywS0HR3sIWZYkqesOsJPlJ+FNazvzXTAu
GeySbBgfw/wh/fCqEfv77Cz2NWMxsnEICk7+Ym7LhbOkywTVNg7oAKCFGa0VjrDuRo29eevbMS45
bbjjW+5U8hnb1bODkjo/5zSoH2BrLUhWPQRrZ1YhkFi7/w4JL/w9WWx5eggtxDFY9RrXT+GGT2o3
GTI8mH3TbyZmEdsiWHx+xKJB37C1vA1UIifc7533jrWy3M3dEPEcT81tnA7PYSjrXZbiJ/Kj4UuP
s9BdLIaYXYDWunSaRN5YOzsD0mK1rnrggEmMQ1h6dLuwLEq8i4b0AZcNWt8GaTLj4J7cdeV3xa6a
DGcfhb1/rsPU2caNfmpC2pe05xanpC6a6rYlVXOTZQX1yYBHEIludOoKJU6WVsbBDSsNmKFzzpU9
m2suWkkDDovm6FUV8etNsDVCdAJy8Z2zQrJ7p5Ebn6rTmDNxx0OAxqrTl7s4MLxjvthCcUmt7dIu
D5A41D5YnhC0fWmuxGF3cDO+ME18wauORlBrtQpvZ+k+dGlhkdNemtdMyQARed4+W6NlnKcP96rx
4WRlvur93n74WyPLmk8t8cF7mbbVZ0n5TnnXoUVkfVvZk6Wwyvo0Mi/mgvngyeszuHUYGLvTTlZZ
cRyYfL8ZWfF5NBocuMLPYbYopXcI9nHoTv5grmiOdntzMfC6i5WXzR/ShpvzIOIcfOxL971erL9W
C/JCLHZgditxhDlkv0XKxFAWVXr8TEW8pbpWVIKLrZgeebZtG6zGRH+ICzu/KrYpUQsrg674wVzs
yUWCFVEvlmWXgPXhnHSGL1Y1g7iwYyMJFNeudWnNDVmOidHN1UQt3jBluaZ0XBk4ycLJD2Ql97gC
sjHeJdKCCh2IegOFtiT8JYnQdlSxHTE2SQw2JpV6hyDrhhcj07jBJi+yPEghguCJuuUEwkwOqQpM
Bs19kTI0fKmZ9RxnjBn4E7EaYHKegfKY/KP0051n5eYz2dMBS9wuKqT2qbsUfmykRRp+JZM4PtMO
hqvT6k+QabubQgW3XlbqNQ+v6LHoLPNzOGCgXRHPGrWnrGmm9JP26s48FpnHUMBoxGx1tDaXFM7Q
7poB9qVB5RRzcIvuojYcqGZ7bAeji57ulc4sm3pE14R2vDFMcJiA8qkZI4GU1cywJHcMcxVrg6HT
mtSbzn4NkoKnrtUx0FgHaWDHO3+I3OKmMRX/Hi4iLRnTLdqA1WOFzOU7atAElE5MJaspRLze4dmU
NnU+nUwxgwm0BvFELZojhcOFiYyI+uyHE/8/KBHtv/lmBHopxwWxFgiYgR8BDz+enSGqqEI1yYHu
Lg/MuKIUhBExDMofVwj0dflI7zRwjhPZbBxvUC9lp96x+mvn9KFeJf0CWjcninfn4zEtCHzcGyk1
Hfwoqok0BgORR0vzWS1HzzI0c7UxiojDW+arsbud6FO8/1Ejp8UwXjvAIFyTqR6vCQhf1AlyHu+X
x8pbWmbhGa5PAO3E9WsKsl9fjr9rQ8VCMHBhiaJ/8T+07z+2EvowTkmAQVhSRn2hVuS3E/maeFnN
09/Fg7xG41RuPYK23wpUBNem5dCNrZ+jLC6Pa1E2/+4d/dMXZDJSwdLp24LnyV+bG4a7aAB4AB6U
NKh/PMOjS0lv5YVxOAVNYCznOOLm9bsDfuEII2dRsVag0YTi2bKGVrUcJqjQf32p/iZhFVi6wCrQ
egHp5vyc/9qBOk7rNpWHqAr5Qkk5ssdPs8Og8rMzzXOzc4qQOrYq3TzzVkRGpX9otf+fXL5/+K5I
4BJL98fHQAbM869XZkg8Uc1WGx/cERYsHKslB6cLRWQtJNMk5pgS1fvUTpP4pq2hYaF+09EFd5N4
CswOUUa1WNb/48uC+YGsEQ58eCEW88SPC6i0OzhQ0okPpcGhoRmpG7djWnGa6WmrrFviaYpNV8yU
1ehz69dfv/pPeSywA7kemDCW/3F4Q2D908tPftaV/cw1mXIO0VKQmU2t0gQFo6MimbAgEyMQ2E8Z
5uGjWA5uEPUdedM7TW3dMSnssxn/ZhsnBwKg1KFuEDV+R5DE6be0eUT/+g0v3pSfeneeD8MRX5VD
C5Fwnb++4UQYDe5539jbCdb2lVXNZXIKsNdyqy02cjZ+wIPIe4zH0pppnoxFwj4wQaZ6xGrH9hTb
gtMJNiO4ornD37I78VcQOVO8/WgP2Va93CNK0qWhbx+nhwo7f7FO/bqPt3HPBH6eCl6d4S3NG2AN
jJUxbvzL7/Ff/eG/0x86MDh/WBebt/btf/7A0lzeCrJgjuV7+vbXFrT442f+1B86vxG9tMRz4TH6
C12GSBemTLBdUPkuvk+L5vCfniTxm48emH3cd/9oT/9fOaL/m89/WH4MwwEG1f9I/Os4P69i+txs
uYsi0ba8v6etdJZO0plW3jGijbyxmzx/w9XPTLpLTdT8CWoC+gN6mte6M/phncWWIGhBFbezFznj
WuBJ2EZm2r/7nSjuZuQ2X0IT2MsqDrOYKUtnFJsRUBMDxLn8Urj0xkxPWHcMpD2Ug72ybxGXBTNd
4oIZGPZGDxFU8OirLL/ykO3vzP6tqJRixp5kL5Bi1CvY6N7Am5Njwc84G73hGyzGFaf/ia4IjdZo
M8LHGJHvgzBk82yy3xMjQ+5vq4LH8kTtzLRtAiU1NjA6I1KBbxedor0jyG12Nq6yAmeb41Cy1wpQ
Ny7EQNr7JgSxtVATk7ONVi7Y2uAmkeOVOcL/zMiqr7Wu69cKkMCl0xNFuZ1rUjj08DUo+vLVaVM3
X8690006ZM3DVMv4zUosC/eBVa0glyLgKggIoS5kkBUMl9kdq3vXnir0hwHG2tVUDP4e4HJ2CWxC
Tpzcnnf1BMdKV0ffZ4uA59mt+7JTK8+Z9oOV+veoljjxSbv4Oupc0N4qgnvPFTXoONk+2mBYcNEA
VXeGyT5EM1gSEjkXGHhL34yUn+4mIKk6Os5aNKd+zhOGgrEbxqvUbfxzYBZWuVbGRMxAUXePcFRQ
VHdimCHh9OJz6mfR59aox2M9gNQmL8M4DzPZF5Rb3qpClbIeRlAmcyy6TzlREM3aDQt1HggJv0mC
oAcJF85gKogUzkiLc5K73inzbd2EpaRgCJtyhXWnv82NUS0ejC57az6mtJoGzT5OC0RFlhz0F3ib
sL+GqAHJmDV2jB86LMWBgU16TerM/mRh5XoIZ5dXs01fPQoiOnZwPZwbYcneROlYJQfDbslnmZAv
WG3fHIZJEBsPaXDt0aN+NcpYnWyzCL8hmvfVzjML0uoETy6icpomvIaEMJDl2saV8VnGtnefONSG
qBCQ4a5CPWdfnbqyw1WXoMeJzbnYhG4r1k0hyie+xwyhjU7u/VHqWy2m5OQjigq3AqomQLPS2Rge
6LgNy7V6CmxQ5bFqKxQeDf9dVLFzS4+rqxbmfX2RpV+l2OMK7nKgCkIulMkY3w+XB3qFiYwKsAb/
V5UibtvVGPaT9K66oiuen0vTHEs8dmhV50MxgHCJ+tmMQIT39nQCQSIPzeDdi0CC3HD8GUEr1ODJ
UeHjCBO43+qxy18hsEw4aaM+3/idE+p1VlvVugQk/NiR/go0MYW83uJgRn+TmhcHTO65dZGjcUp3
V7T4EZJhv8bzhAkpsJmKKe6Xa6QB8q9S9GnPYzTYZAJ1rQnRNEVJFm6ceu7MR2fWiEOJigS1jne4
MQ5Dp16cHNKukQXA/qH/DEdb9ac+Lr3bqq7VvmgBiOZjPu/rrpge8A9ax05Cn6oCNz4Gk84fwGmp
az7Ice0w+dpFdphvsQSCCPLCVRFpWoEEEhT027qCDp3ZpudenmpCw4+dbTT7zo+abZhar16U4EaW
xklKa9VBul0R7aD5NYvFgUbPS+LYzjHSquJoXow7zCT6LjWd17Cr4w1Ka/q0Q2/cSvAqh3jZrafO
/FSKtl5FFJirDNuG7m+YxeTrqDVvZGq105ohJI1xnTyPNrK6XFYvgT/5pMPUXxEn5dSE1pVTU4gs
In+JbXXnDVLet035GWULHa/pxkdYu6NZ/NinNnzb0W/XgzkVQDWyfmOVOYHZ3VjTvEhQWUz0DFdd
rxtExol326RCnxS5T8BA490UBv2eoFAHpNlEgiQZviZDmSw5qdh3Uj5ePb9CN9S34Tg4Ow/FiMUy
uvH4ts9mrKyVaXTl1QQPuzfIWtlT4LOapmq+kL4l6VhWol8FqVs/NNMUXu1ZwRIgfzZ/yIxxuPNC
9e5XhCpkaSxuIPM0W4O2WrGu3VEs2yzCU6Z3U/zko0XYuNB3Ns3oWtuZqEM8WvF0yUeERlMv1PNM
tgXtJ0cjFEsfSCFquCVovKi+15dCZfjECri5fR5FD64V4XFb8nNcmEaoGXqydUzI85advOVj9JZo
s3mwaGHfW2M43qRK21cPHtFjNzBhbG3vRCYMGMiOpSMN85Ork2ZJxwEPIMkUCD3eqZX5X4ex19fA
CPGwoLDf2dMc7joyvb5z4Cgv87DV3dydwQiBc1Cddi7sMcZZtqkPOToplmSBJN/AVMpuyBu01y7U
nT3ot+Srk+fcWzTf9JrS/soizIFHmvm9dCN35WEP2qaMsTdCmPc+er5Na0l1LGbbvs/B6m2Mbqrv
3EF8cXvlbRtw3I+cy2jYtz6xmZXT7PRgZYKVkdDcoi6AGOP4JXxgS6HYsD2wZiq9MXovPLl6mBCe
puPRa3lEjtnsHY1ceGLzUfz9t07+N3Xycmr8ZZ388k0R4dH+KNX418/8KdUQBBza8EFsGgVLNYoA
5F9SDd/+jX3MN4ksodEDapFX+rNQXsz7rvWROvsnvPFfLjnH+o10XIKO8bWhrSDg/j9xyS0n8h+E
GhbuHwEKgHdIDe8QefbXw14g+m6mveYegoAQ0CJJAmAjcEN+ODv8Q0/r585EgK+Wz0hCs82BAGLN
X18l6tBO20DVDh0p7IJElhAqxxghGCcS5r7w6JLkc7P0Jub23x3Al+/rx4+IRkbYWICwLHHZsET9
9BETJA+jzWPvEKPfz3a+0gPmVcHrgoS7SuJ03uKwqMOVLsHG6nlKv40G/eytp0Dv50pgzemYOaKY
zxkZGc2py6Bh6UAyxpV55LLvKojK4KlvoT5G18LLh82vL+A/fgh/8SW7YHVYSD9dQRMnkF20c3ig
UWxtRwdPbGEwhU2Z0jw3tgl+V2QIAowC/IowP4aYWC3QzjBwQOY33nulhVJEBwFiBfogISX/rgdg
eaT6yRil0Ngs0q5FvDC3EicOPcNff4afNUHL9wCUCGv1h5n857BwZBNdR2s+xG9ZY20CHb4aezXt
/Up+//UroX762zceoHFyHaROZE78dLFcpKlFLXilnnkSQSUMslsvaE6qtZsH02Vo/+vX++km+lhh
uFdgprLEiVFfVuAPHVtL6LIsjJzXi1P1wI4C5LyL/1177x+uH4Y/B9NeALPV/rmRFCq2C2iBwUFZ
dO4QDn7HnpUeMh08/frjfDQKf9gUls/jWtBBfG48DAc/bwqStjOuFi84WDzbjrOPPT0JWTPTxBc3
FTaPP5F4RD9XbXadenRYdQ4OzZEiugKEnG/ALDUPalom5V6P67YWKdP4XtjzAcdedKryEiQxa/MZ
BUNJOMNsIkaMJbmeKyfmRcaaYEMiY9ODtqA3D96cHn79IcH8/7xKUFsItgaaXbTnsPX+9VuLrCiH
LK3GwyCxIxT02Y/oQfTRaFS2qxikoBauvo+5MhZCIZOMyZeHvJCcZUXd7rJaqUudpQPyktKGvV+a
n4SVpRc3nJwv/lAUn9zG2yoxWI8iLMgbUMyD1sqLYMCaQNuTmTTelmj35yRGTVwC/dlnMOFlH39h
O8sgwbsuHBGLfMAUdxlPF0w0dWRhjfDSAwZm8k3cFIOQ5Yi9tqvgSUWuPEp0m5uSUrxd4UH5mvDg
gZ6bEX1Rz/1dzUxqMWP4zpnYpXzfR567rXvLgRxSd5zQvYqeqIirQ6Yq2hLojPOGSrYsJuMOUN/0
Pk0MrHAKtds4a+29GzlSr6SXwEDIanKc/Nl5cBPbfKo7XXzy4wRsFYJb4jHNkKlYqEjrXA0Vg94K
dcBnQhzg8RcWorIwzI9ykiO6l9C78/Is2LQB9seVXaTDXdeWANzlouVo9NYYUTAkUfbNyIzglk6F
sXHiNN4avjoVBfj93BMNFNrwOPZGeamiGrXLSFrRKlaUUYZfgm+R5+V6bqpc1mvaUuC5K7AqorBf
XRRXSN8S8xgj3Ts7UT09G3nWWvxXmiDkICDngSll4UHh7C2Lwd5bVRgcwRrabyry9L3kOpXH1uxI
gvM1/V1nVyY1K6LH8tM1tv1GGka1yxILlU49wrWprFI94+fs1hWp5nw1OK+QlsecxbtdktgPVlR0
jIbr/tiiP1mRJN8GRD9Y72D6io3yRP0wqfw2jdxkzSwNpmicd5suonEBxxAvuQlD30KRZcagJmQ4
xriK4lvyab4kwKIOSdua10jM01Yq79PUZm9WUZabQWm5NiQWzBZVCVEvSpzxFAx47bJwVfXzuC6Q
Aa46idaEghXlHoMxtqiO2WpRyrUjq/HGCEjuzfRYkpsV4I1CWMCbGSOyvjJnnWQ2U2vmckujtx/8
DY+hjFFVQBiPHBZjQ+xZe6UXQD+Gk3MLpGatQJu/0QExGUJrP2BChc95ZVoSuBrJYmxTWjQ30ySc
Y0JE2kHYqXnwIYbh7QfJmK3CxpqxvlvQu1aM3ZvV3CbRGmJn+VX1TvxZomV793w9fbZ7NZwKujbH
rA9bMhVq56xMo0YciBfEjcz+2AnuL2PK0EjmE9kJK1P6WqBlDP252YglD6Yw42I1GvP47PRmubNN
KzmaWVxvHUT5aznh5GIWCprMa8pzOjJNKk04Pi5S8LMsO4xNoH6bU1iDqPOqbsKuBDe40Wa2i2Q/
fe9bNVQXaAP5JqopCuZ+IhukIoChtgpSYmKeHALF/soysYOZ/cCJDsDdyfcQqQxMgjdWAosIY5H+
NIeDc2dxo16m1IR9kkVMm1FsVP03IdWwCXO4eZOU6mviM6UmL8B/Scj9Opeuz5DUpL7Iqzq5y7KB
6qSn5KsqBvMeiTq8O9SQi68MVsFoetk1j53ms5R2tsnMedikBnUhUanTPs+EfRycJtvViBBeqpYI
miZ19ftsJOYhl+hJJCZxLAmUX15eRac5BA83TXZ9sZM5Ovka1Bt6RR/5kO1mG1kt6FLV88mzNLkL
TURGbmcjGmlna+sAar2b/TrSK9w4/IwV5voTImB3TVgP7wQtrrnv+5aPBNMZeq7tz/ECQHK3dpi4
d4KNYY3Vjwzr1poPJorbdeh30YlaxV3XEa0S6kh16j3Wq7CT6Ts1cP+SMoHe2hglTpKETazp/8ve
eWzHjWRb9ItQCyaAAKaJ9GTSU26CJVIleBMwAfP1b4Oq6iepulVd8+6BelIkmEggIu695+zjChvr
E6mxUWW4Vz1WoYeZCzCjKth5l0ii4iQB1/3ERLtl1OYl/YNJePUmohp/aE0kAy19iA+m7151uQWs
BgPPoctALW44LzpX7mQeesWiYLWDc6MdJfZNoibG80Sy6SJL9jX2WgRxw5MVGXY49n2Kq2R0d0gh
7jBEBXqTJ7E+tI2ekwO3X+avrfBVct12pdI8zZCq0HngO+rL1ty2Dt3p6wAGI475ieQqAM+2SG6m
0Z7K5fS2vf+vYP27gpW8No7D/5ns8kyu0g/V6rcf+KNa/QZuMTmhM6twOWRy1P2jWrUs8RsQTypG
cHSBb64Tlz+rVZtqFQ41CJPv5zkm/yM4xJKcWFfk1D9gzL2Frn53JIVxGjg8leCpHKogsBY/HtaA
qqVJPfvzJUBSvOShjwxk3pceUoeyFA7zDnofeHeQ6HV0or5Y85weJhbLu1lV7RGHDAeopp4IBkUH
8SbMT4gouqNO6NaTCJOHCISSM5qDputbeiIaHww5I1MiKED7gXhOooky8TiUtPi9eNQwmcwiMm6D
UujyXLdZ2wWhjRbP/+o0knHocSS4Y9KnmAkSU4ZITkaGgddX+rHR3ORHo6qljdSZA9yOw28LN/iN
tOajqMY/G2h0jw0otri0Y7VBvDEj5ikFQnv4MDfR6qBS0l6ccCRg8akq7eRp6WuHQ6JFVvMyGC9j
Uqbg5USLlqZMMsjx7k0/teq0uGAGwNgNnwOLPBTeWDz+ad6moUeYQBjUGsVfGEyLtKtzhhXXJY5+
yUeKz3FET3cFbqasrJBEyOkmiXNtnLC7r4pauHHzozFbw2JuUehn8Z6YEdeWBzsFbc6hxgRndbTM
OLLgEZe5Vvn04BVm2l6aqYMikm9KOiOl/t+K8G1g+zcrAvIDn1f1P68Ip3r8wWr0xw/8sSKQFfIm
wPmzC/XHahB4JETanuWhNAkkZHJeyD9XA2eNgWQxwHv0FsfMGvJn7wrmDFpV/EfeWw+An/oHi4Jw
foLOQKBjHwRnDKzRtKlVV6XOd4U3uT29rmTqn01VcsDMumY75jZMMjb6LyWqixO2QgG8tXDjmLFA
lN84Ttl+zDIPIFokO+POiiW2wKSZ9R00/ehdvtChvlLpNL0maGliIugcFYVRxQgjVNOC4RaO7i4i
mu8dG9x4P7SNQxriTC7yOcn84ovWs3ut1eC/S7AHtxD4W872PUvkvK1qqGk9w5ckEOlJu7rYZYmj
BtrGgQvUoXTIprC84ndYS6cYZ8oNh3T9vk+VeMgjYyAyXTfR1x7N921s6EtOCVuhMk6zj0vkqM/w
avX7KSacxJ675Cv8D04EQexy1monedcg/mZqPTtUJyR1XRZJebohoWD+KkvDuK+rDAWe1GV8ow0b
7K9oYIfHnY/CcawdcW0nWQ5jip53sCG4Ofm8AMQ7Fl7U7QAGJEQVO5ASHL/0D510HbkhrLh4nK0k
uWXoRdwBgYLHdESGiV/BP7u20Aeznhpnu7DmPpYJIXwH9CaFJEAusUknsuyB6NqcQd0Wf1LwZV6b
W+Hst9IkZlsPV4wyYGNGOW25KM92SOC9VbRCckGhpuCqxTTJrIlpDIbPxr8RjJyZXWk5PGhZqmM8
J5S6htkxSAfqGQYkGNXIi73mURVk9lnSN8Lanrg5uGJI4Wiq4tYiMcbc+PFC0jVWowG9odQfigFU
gTeI3r+i3pVUFAv2CUZSBKtAUIv6bYzbeUc8SntbJQNhHVOqYAt4qE3FOGEoQeffn0nrg8frJVN8
5/fNV3Bi83A0+0WlW8OnIzHG5CWwUy1IyFOx9K9Vy+TsGEV+8S4apowUm0rtlmDO0J5Vnv7c0Ey+
88ZWb+umcomsdFrJ1Fw5e6tGybmZUmu8Xfouzt4pk61H3y8GSSnFzgKo1B8k+cQP4yyTu9ImBLT4
wrdrj1RsZZtybydRQQ27Npd2ruHgkH2IoKtTwba0aqpl0euPozt6jBAt+xnV9zuF7X+bFcuj6FBi
IWGy6FBalq6OUWWtVIoI+jxvaKjh6p7nXuT7riSLkVzjNkSZiMcpHzeysugVBaLedQjdQ1R/0R7d
OtpQSSkD+AOXbOyUW+qHK7sPrEttEiMx1eKB082RmEP3emlEFM5oQSlBqvlIYcV9X+Myy40Wc7St
/JYnUFTKvDHceva2XTegjyYGfA9UsT/b5ar+zZghOlMwXg8OhKlRlflBucPQk+6yqCuvU8PZzoby
AcilIBWy9twDISP9gxGQYpPwYuZ08nAoP1sGywAWpS+wmcU28yi26jTrnozBLm6KcZJhV3HmSCfX
esRex6rllzRmgk4AZcQvCcKBKjYbY/RWeEwA0OV3jqjeYRsswnjhxTY4G2R9/EBEZgIXxspCwLJV
mNGcczdIKGgtLl4ZTrm33u16fDIdJ9maeg5OFM3LjvgEffDtzH5AyNttWZ7yHXNvl/xKUe481JgT
p5RuuLiMWndqopMzl+7y3imE+CAJW9kmOb3DqUkY7w+9fEImRGTq6BUTi1THmsKkjbUSnLBBSt9U
o9PJ4+WW8ALuXBVnd4tmbaRe9o/1IgQ5NwEudcvAUBp3xF1E9gJqkpI5HAluD+M0VzflAH0I1rx/
lbf2ZxPnDBZGbOYTUQ8bN1D9ruxWRI3DTbkf0YDsogX6eOjFBXfbdjJeVOaIJIViAFkBvBr8Qjr1
E90ngyIdJ/9t1vnjF226EDCqnPy73jZ3pt/QuRBy2LedX35goO7fJX3czGHM1/8h89297Q7GDRLv
6pYxDClDRWw+kUxf4GkQ/UeC6cWjhBt/r5Cz7mZLmfuiEcNFL71/ykzRwdVBnLOj51Gw6Cbp8JgK
pz77Sed8RiZMhq6jRjL8VHVBPd5hEXet265ziaMBZspbNc6PsVWuxFDDSm96GhvX6Kr1decW0dFM
sMjgjc23tfBZMgtSrAIsvSmmnzsjH6hfsYBJOGhOvIVJg9oHk9dyxoWW7EtUTzepXUTPSbWMRLw3
bveJCWYKycjQ6bWt847eLvk5m8WaXmhOkVHkNMuTox2bMjmTLeSCFGeAVN2zikf7mhDA8XoZa+AQ
BYdUnjeVPLjeYD0CPrb3S501cNwUk37YGMn7RjUdbBgqgKSr0X2xMKkjO/r0GWNa8QSOTHYbzAUT
B1onD01bLHDChv7stv19PwCVQGLiWH3/wVTeOp+dmcLn5ocZ6ByAyEm26XtM2itMqa+9gZ0oN/2M
vhMQ/g2i03I30MUhdAxQ6q4xp+WL32tvF+UzSo42ZQlOmJlpqB1E6cbJPBxGs3waSSo7pDnWQB7S
6MRXWRBtUxX3ziqGcit5HmKjodvMSf1/FfN/Y8pnGG7/0pR/9des9G8/8ucJWWCrZ4Tq0koRzH8s
Tql/1swmlTGdGo67woeLiK3+X6dkxhF/ck+hMwfE2WG2dVbNv7D+yakYHeWPgw1OxQBZGRLhI2BQ
5P0cvKGi3i+yePKuSrvx6WCBiISYZ428HOHQGQ1RClSNcNs3Ocm20U1dzWzBrWsaiF8WTF3WY1Er
0yjPXec57bSjX9kKUlkjnmikf+tEB0/W0tzkifB8uS9bXYrxpjdpqE2IECWnAwBMXh/vadeV3jVS
5u41j8d7ECUyCi3bkKFIPLkvwE+DgVTk+tgLZaO/kExBRzIl/CGwKpM0X4yqy8G2WnCP1QScPcw6
kwY+Y9y0OxbKH9RdZkT5Y6ui4GNXLA7CEzZdJi2tzporjwgGNJFz8MFwPFFzCUyhuykobDp0KFIr
HE5VSest9W9zkjo+KinHrRHU46dUC3YcZBl7Oq0uILmkXYWd9sTe7iQG4Qw1/d98KZlakBn6yetc
9cHuHBSPVo1NhnHAazHNN77ZYs0jTno+8U900YPn3KYuregV0r/rszVaG2kd/40TqHtm5MkYmvNs
bvuRynvDIZxAHo7OLIkigkU/WtjRUbOXdwNW63dkFJFJ3s7jYVnkfB9gPjqzMa6iypSD6yZiwT4m
RZZ+4Xlw77McFg3ubtu4TcrKP0yuBy6gniyUiX31lCySI7g/1HdssTLUU5xwHoYDT9KUtt8bddHB
0WGef1uLeCVic1wupZQrbGG5Knp3Jj5vEMMO5/iwM9bVcDQiaA7kpRzRtUP4niO1fDLmstn7aWEc
CNFdTjRBllcUl/KUdFbzSC59dAOKpL6uDQC8B7EY8+00LJ62IJ5p0dseR88//h/pmtDJxXDthhEW
Cd5vhCQdiKo9Z00XjxWu4Y4Mq63sI4XhCCEN2iCL3OiNHsGJLRCBI8t8/d+K+t+tqBCKftVxuKJx
Mbzm8/d9SJa99Yf+WFN96zfQozQN3+DRq4L8jxXVD35jerAus5JOGbqz/+87OMFvmF5oV9F19Dzm
16zD/7/C0gVhXUR1/k1q889W2B8XWCw2Jo0PlAWrrseyf1YyOJ6TtP5CNIy2OPEgdrPk/WgR/Ong
nyZql3pPmy+ZMSINVkKMG+A+ASwu3R9bWeqDoyx1QB4JyOm72/hvdDau/VNHhD+NW8JOhNmFqa/5
swdoIpzQzW2yyCSs1vo24CB+6y8eaz2LJJmE1ppO+JZTmLYRMcgIco1Gd2FJwRR98VHn3HfAghVu
ccy38j1ROPHN/JaEKHgxP6IQ6j3yr9ewRA7jBpZed81QRNfqE6govB6BAnS0ZSu+5S1a39IX67co
xmRNZay/JTQGbqEe/LfgRk5i6ClRZgdnPOvWqmDPdlMbPLG6J5D/Auwxd4vlDc9BjXdmbFVJrmVh
F4wcx0y9lHNpgh9zADlp0TZZSK+YUtzPETPudWQnxbkHOsk4ka4mia1QFu/BQcFBAocAd/sdoFbj
0KZLe1ZxZh0GvMGvqZm09HbdaetlHRnV9bmpve5Jkod+ZwVQ0WQ39FdRlOjzZGhjmzLkY4FGBn2j
hDNfV3GyN9KMaWAyWPWDIYKPpsOk3Ei7ut4SZp18sKOokRtzcMeLgWz6fhnyYAplMne7MdXTdSyX
R3OIi9t2HgjeXIJKYnJm6rT3c0O80LTNNkGTdJvJdTm9Dg7Bsw8oB5oH0rOcsIz88s5l1A+xzmmt
/EJZ0znPWdyi9beM9BZP2I5C194rnPtPM7pnEuKd6jR5jXsAAVLtG9knORMibwg7Whi7pZLWkVSn
ZicX4qvRbSiK56Y+0Ydg1qti7567rq58L2/3GbjYc2w5ATnwnn9OLLOIt1FlFh8agJFP9Sr8USMt
bwA3Bu0WHJc3Diqla0eb8ksMGmgvol7tsA/QoSaTPSxm3e7stO69Dfdd7BdMmETsYUz+nPPYb5gw
TWFP6OcG1tDIPEyPNwF7w5U7dsSHijQ4CEV2d28s1QYVjcMH6p2HhPkUBokFs2VL8iuar1JGe+bn
3RwuuH0/uPyS0JgK9lI/GHZuMFqf7ThLwpIh/+8r6vOiYM9u/Wlqj6IR+El6Ohgf2YmXNoyYw51s
7WXo20ZnJlK4R/RyYAdmkiDdrmMcq0ppYw9QBU0gJ5i3RVzE+E+7yHhypw7FtzCK/hRgBLgKGrd2
QXmaxUnLpe02QDmSa+IhqiuYMtw9YDJLKPTaC9PJvoBfmzFqi8RrOYoRX3Axtk/L2FTXQREE3D6U
d2soRLQHvROFMEzWtyvxldjEnDf0gZrbKTAFAH2WlZm6B5nX3inv2+cgGZcXyfx/F42dOAWQZ9fM
GXqMjWXUN6yE40foez7gJh8wKSKbpSJJMyVhMGRXHudN3bXyUxXJYNi6qkXvUBMpp28wXIjTZFHt
bciNxF9v6T4pr+ea5g4WUK1PdezV7pZClV5nRuvr1qXl14Jzi+1bvBTjvdciAwO6mmiOpFVX3Ape
DHwjgEfoZeraoC638LY39DxuPJaDqzLBJb4ZoqJ8x0FIAYFz+no3gcq8EG+krg0Ik91WruaDdLUh
SI5QxdYaUrE1V5uCxzMaIPjBvKAXt70gKkjuUnvMn5vV5EAMGQnxM5G6ZTNStb+5Idwuz1+zmJxO
enmrX4LmnHeHy74wPoDRxlHBnDx4sN98FvLNcxE3rdfuxWrFwP6sznNpjR9jP8GAs1o2IPuqI62T
7WJ4kF/i1dqBIgKXByki4ioJ4HfLUbePrlPjB4ksL7lfpajva12mD0y8SuvYtV18J4RogN6hAilC
3K7dp3omiGAjgFC6h3Y1okSrJSVRgYJnaE360mMGwh8FvJ0sE2cNx86pxG9RqWBwcXXH5Ujr019Z
3/GLEP69V9LrPnlGwCXiwCT2l7V5n81Odmpze9qpEWMNa8N0ylazjV5tNzrnoWOd5yXPkZkTHFKv
QvsVCs0sH8dOtpp3rDcfj5zt1dPTYe9BR089rel7XPU+kIz1azsafnJVUk3Q9nP4kNqSuy7xXjMH
RfroiwbO4uS8w6jRnDKKhbuADFWuWr7aanUeBS6xJPAurgloYslxi+t49iPMSPWJkX+58VwDtKtV
EldoIjpoGpHdzG4tD4LCgR9AynkL6wsfzbh6otzVHWXbsDuwhWKMaPmH0CjjU7Z6qlrbma6Eq0QR
dk2C58oN9KtefVg5GrctMuUJx2brvxSrX4un1CWz5c3GBUEDS9e8uru6WjNUZDttrxx/dYi5ToIV
zOrQg+2G2ZjFFudI4OznFqL1dsJN8s7L+r7aqdVrJt5sZ/ObBS0Wqx0te7Om9W82NT+RI7W0v3pI
3oxsw+ppS1d3G6Mjvq7ksyEyJDKmQDZoeo/5FLmH7M0e58CyX+DnJs6lezPQrWX7bZRX+ED6pP40
r067fsBzhwmN7ws8NlY8w8mqT46rSn4nTj179ezRaMcQAqqtvPiqs647ljPeotXpF7+Z/jh3YQAs
/J6mEG7h/DMDro+dYcGenpExQwELmnOGbUnSZPcNWu0Y6JIQzioYW6NW5cOYmP1NnWXzvfCsFNeP
Np2t11n00luoRfuh6x7igOwdDkXuJXHrBKcgr9h1ykTN3eIiwDswCng6G7cUWHxW7HZEI/kVc416
8QPV0BdajOCMf2BcD5iu3RLEUwd0AZdeoCRslxNpaLLGhzB41z2aNLFpCN2xV3URaHqgCPoaxAJa
i5F1JAvbSqBh4XjSvrczORv32hGlOAxs+ve8tahCTJ4BIpbqwjvrrGUnEMQ4qmOuuJ/baYwQRvVS
cP6qC8d/nCZLbGslDQhxTFeu/DZnoU0Cp0H35RXZpU3mfCLMU5b4sfzpHYQF9YBfTH5SMGIPtYeB
a5OnufEq0Jec/Vqq6qC6lgEZyWPM5BN0aOh6iGYmDKmx7mwSaMuz36QBokjZfA0qU8AgMmPz1PhZ
YYbVGk7dOQP06glzG6HV3rcI6/+Vdf9VWReQCvtdPfIXz/B1jcruL67hbz/1Z13n/0aDi9gwZsNi
zQVCKv3nRBl5CdgAE7EIQvE1pOxfvTKHoCGsEGbg4aGXKKyZZ/9R2dn8woDKkRm0TVqBE/yj3pnz
k5LbQg8MPQFw4upPlowffxwoQ1IZB0DQ7cnlwQVvlhnWg0mmJ/xeMmVrlfmI8RppvnSGjJ5gILVg
xavobLRpdO7Y/xk1S+ua/LzqgH5Mr3tKgZOK8/qTTxbPViaNi72LIPjQwrB0a1XG8HvW4j2ekpg0
AZt5RFP6KZAXOkW1KZJpCydfbwFNtaEVm+146EtjObIOeY+Enk83331l/6aE/Kl5yB0QKIKQudng
O22MEz/egYzDGoVq05w4amIaAOB+4MyCsKXv18/F3/3r6/2kan+7Hu3KVWZOq9D62RoC482c4jxv
TqPROpspLl7WUVWIGuePBvd/pFOseu7vJETrlSRoVLRIVO4WrdYfP9lCr39hdy/QBFD72SzfnCRd
olCdKH3U4GMOc5JFD//44wFXlPQLeJgQnK8f/zuFQmbaWDE5fZ4Gj/VwY6zOtw4tg7sdJredN//8
ai4dDsgNvkBA+JPxIQ78Ma3KrDhZ5ujmlwq6337ymPHfDkXw9OtrWT/p59f7CeCVi0iHtCHoAD9+
NKiGRVLmZnpSyVQwF02o5bdKlTXkLTwzyZxMtwPl/PUI6/C4FLJvdgR/dP/4M7um6Us4BHSEJIvK
j39GYXVyLgdOjGrIQXiw0XdEWETRU+A1OEt//aH/+gxBx30zZkHSJedovSfffZ0thbLTt152aqxl
ua/9ttv2Bm9wg806Oc1dyoxTVnD//+a6f31LXNwYlkWhDBKWXLUfr5ujDktjr8lO1ag0h3K+zdEZ
xhFg9JD9s2sJEk4Yga99NL5eZGg/XUukxmjpJEhPKfU8rk8AJpvGbOerGBXt86/v5/q7vnsn366F
nYlb6UtT/IV1lJVkebec3U7LvIwWgfSyPBepo63tr6/zc1ts/Uw4I9EjscjwuNo/3r/BK7rWq6f0
FJmuzjjNUE9sxFwxstSO+5ikKSrrCUd5ulloIBFEUcbJt6yz/3b9WT8rQgsWOsLabYSUPz07FGd5
qsjXOEW6Y95h4Ykjw43IyMiZ0Q8SeLDtPGf+m/X8r/wZNlmWIM+DgcMe+qas/O6R1bHH6S6S6Skh
Lv19m3nlGY3lfNMwZji0TkNKB1r6qYJ4O8UyjMZh1qfRq6Yv6JBU+9ogGTqTGYPTeh0JAbXlnyUz
7n/9Df27v9NdLXr0fQPkXD9PrXLXicZFGsYRnLT3Ms+DaEOtCsqsqPBGj3kHJRhZuIaUnMLH/GJq
e15TJKPohCFPXAV9EJ2ASzg3geF1cu/ppM4ICwukPvz6b/3rU+ub3E1Gdi4nkr8M2MwA8HtXjOmp
DMw5Bx3iTzm1S9fvfn2dn956nhhktnxlVCE+//68N6aGzU0xuhQFX73cB+mCnwp2tHvFCMZ9/PW1
fl7O3y4mJf1jdOj0ytdm/PdL2+x3biemjOWckIpt7Ed65ckOIUgDzAV2Qyb4NM5X1jDJj7gD4wMl
Tf83Nxb76vom/rgiEGVtSlCYHAr4c37aVYq2MWzejOgoB/wIJ1nYLKZ9MDnNKR6a5Z4pnvniQiEj
ZH6ABzY3CbGgKdJVH9q1idg91tE5wGp4h57BBrmnsoZct6If0tCGpXgpkg6lXqrsh6Vwoq8a7/87
fy6WC0I9EOGBar1VdpGj70E7r1uTBRephP1AuIT3CJDXPEL7sq6TSqxpWU1qQIQbl/uZtPphU9Bw
ukXu3n8uImK4FrBqF2au8FuCqYq+lj6uhnNVKsQnFVK+I+wR0dEqTYZk40gcGKh0cmFuKgWJPAki
67UaSud5RMmnNhMINNDBUyS+FroX47bsgRnssKImF5AbJdkqLC1Wq9OXIWHxrrvY/Upn2bchT3Bs
pBwz/Tgc0yAe9iaQ6sMoMFNtKzl1X3w52LsqU/Kjr8bWf0AfxPPG2x/nsPICLg8nwrj37Y610+wG
+XEBjABeO4gvcv3ZjkIX2ozriJ1Kxw6NFtO9p6B25gv7TPFOqXm8fbu9kTf2O7tKzPvGIbv6XC+y
SE6RFXvO2TbL5JLjyB12akkyOs1vq9VgzVdtv7BC+dZkfKpqAHBhbU6WGRaFtRyHtOHe4f8hvASb
U/IkplS8H1qzMCD0mtWdk9tyFeTwe0ZS+y5eD0sCOkP60prBWG2itp3jQ7CApt0wyHcfgZg4z36F
MWNj2Nzb0rHTlwIt9t5CoPWZNhMAPV4arIFRWi737kijCycI6WWmVtNtOjOU3EphpZ8Kr2dpwkz5
zppNUeyc9TkswUnD1UKwBXja79PtMlkcYKwSby/5MTxLEsfvJR5ncOQRpRc+ik7DEHUNBkdLyTln
SDr0RBkfgC4w7sko7HjAdkAums/JiPe1nnyeXrJAJhwbyFGPQ0LFACPBePIQy628GzFfYqPIzrlf
7IKFRh2z/ukWOKDa9xnd/nhc6p0CN4Ztq27vY4bzJ9NvqyuGJ2vKVpFuPbszL5ZTLedBmd7RkW70
FPdyV4sVWeNV+WXmamEUufK2XOQBxjPzfaKTDmaagWmEwrNpRIkSdEZgmRODYhrTQtPRtkOLAf4+
mGA/iLYq8pC7ar8LUn2bxvDKMwsfZYKSES1qfWZex7TFGCCAlGOwUSUfCxNhi7ksL7azJjnDXnPO
eld8bJk5XcDi3LYTHjom4tNWzz7UdiIS9q5Kn70Iv9bcNfYVgfCo8XPcO301HvKAGKR8sVZ5p+kx
/ya0Jw2Shy6ZX0hJ/NwMRrfLSPfazmSxb2x6TifD9D+oFTzBhL8pwnnCpRYNjf2pdMR5cXws8XZ6
k3gpIAzhPWkdXdWVjD/0qCJ2iZinc1KULMBiPSOV9nzjpY5zgW+i7hHRd2dDY2xaFu86l2r2sdeU
OM8C0hCVHXe/I+psjrNVZwOpcTpSG7xp2dmqRW1tIiOW14Nb8AfVhXCYh8/28uxiYtxPYxENBDXY
gH4tS91yUBLJdvTWwZk0i2dSa+NnWpbj41zDnqWV38D8IxlmvuRycXYRvv69yHv/S1am7WkqvOlE
s7jkopyiL21sPvjuOD7IcZ53zjLgbGT/QYhYNzoJ00aVd11PU1DyphUnwQDN3th5HYXtzFkk9xlW
5ZXXYViQKUtRNaI9jNgRZBzIY5NR+qBCyLclx7x9sJj0ukZNS7fFCXfbmf07CXJgazFouxFq8YlJ
BIuVbXsvF9memSYSyKbL91WWu3dgkbu9J4f4fZ/F45UzTNs+jcZzNg4mpCB/DD7Bw+8gklZ2l4aa
dfJUYXQ9o7+DDWSPfndcdMmDmXF2oEQojPtibuWunNsPFfiFPS4//ZFsQP9rLyZUrF5l2U926cr3
07gEy8F0UwPKzYicuB44j1WglptlCW5A4Hr3RG1goq7rJjR6JY9U0MExmCy7x3k9tL83tu/vGqKO
z6p3LrIU5iWIcCOHIrCu6SNXHGEqCZ+nCO6LSEW0V53IofjPEkGbosXNRwhRaPVFcOZLhXPkokRn
E0YPXRlavE6L2d1LWFinSVXd1q+VvSWJngEBCcQr8ts9jNIo9h4SuB3EKEEYWlffxX3nAA6yslOU
KfvCHUy3TqkJYY2sg3ZdHuyguoBWJF6sDOy7WBXuke6+cx3EoKraZnEfI1dZ29If6wN2RPIUl87/
PBAhFrLQqFB3DPlCv6/bdJNHrn9IdGVjZh4ZDZGqBircnJybwfTrW6JAOPYTTuhB9zeyajfnRi0A
mOkCE2IlP7okgT3x0eIrdJR+vY0iUZxmI5h/7ynHr1H1D+ibjIlw9QaAfMg8mz2d5IV27Uy6N1Ts
a94VSplIW/W5sOaet6tvLmNWFneN5/a3fjdNR0d1SRCmgX8sp6U9jX5lbBAa+Fc17MpLNiDZEbEu
X9ZsI2+XN4F6L1D47z0vy78GbplGYSMZyQIIopeUFe072TWfSn71rlU144PAXWyGCOTefTYZScC3
MjrjFDcDZ1nfIqVMkQiHmx8+GjB9AtRqpvHukO7y0n4djQAT6tAQSYk+gghEePAXxnf1i7QqfQZj
zLQjYA+kAbscZhcdNYO3/s4ydfeStTlrtirYNVgE2jzuQy2kyt1nbNKV7F7xnPhiY4pqSr4mBmys
njwSXFCiryiTeuMrgQjVZXIb+yYd3eHZiCP9ItrU/xgPQVttVghbsZ3Mxafx7eLJkDAlq7I6Gp6Y
z8xbg3hXehprM3pXMy8VknoNOi5T6+RyzK2QUxSCB3uW275QdDVsFWFbgCDCX9VPR1Fl5kWMaYGw
fGTPYJQ1kwExDCSNsjglK75ZTUcrWq0DLdi4bS/smuVsXuJHYMc2QU5kl53cYGIbsegO8VzSlQer
vkByLgJzH+Q13xubwsExm/7cLOnw2lAbrdORYlsZJXeh9dNPkb0+ynSUzEsiG7tC1AfMwDMdCOau
7Xw27Mb4aiP9uI58QE5utWShRQLfYRJT8EzwKnT3wW0/RY1IOU6a2NS79JmDMdFTkQcULlcPnkME
G7PyeWF5jYqIh6p8Z7oVGTy+8SD1BF5cVmQbS3+PRMvbtBX6W8TpuJw5nGylJDnOqjCo+tTYyGJX
tP2UvuSFnVShQZ0MD66v2SrjI1I1ez944+89gK8DtbwIFUODfY7VKMxLD+p56YYWwXMYxNY8wiAO
kT4bZM7xOJvZZF3NbnkYFgtXCr84qQf/YM8KP1k5FwcYhdOj8uwktAc/vhDR99VoGDMofGxQKrR9
Tmns7jq6WecUTi+4e9oD9qRxaDTtcGiS3nzJe0Tq1PjsOhyEzhDnBGTHlGiHsccD0U/ZdW5Nh5wM
1Q3u2SmkqPaQ8U23o2eSKCwm7+i2KgnNUpMvqJptMZBugMs6upusjhktKIK933fEPxr1rjHqBS84
gQWlCj61s1Hu27nxYOfSO1gYfOB9v8eY9Dn1xL6Oknl1Dd4AmSMqTn0cy+V2yKMz8uTnpo0uLLk0
jBBVXxFb/5XwkneggR4w+B0aTtMhaIXPgZmiIoTjTtZM8GK5Zhcu7aryMyz3mdAqIjdr+2UKLA5W
hJtu/cQmIaztt8Cb9xkZBhMzQPT13mupg2Zjl3S1oXNREcTjMLxfnOV10unJywZEJ7IgiHsO5vi9
iUhvQQnt52f0O3A55xmnROrgVd9plX6Y9NQdhz4h0uTZ9PWAMEhB6u7SRxIDEmDxxHG3Sg8fDLv1
d9OI0EpTw1wPA5x8VAXraz6bZ9dJ5QevExUDJeX52y4Z21OqPNqjY7aWE8SeTYcaQ8EOO2IukKYT
NUjqtdHuk3J6IJIr+ILDZTbO/8feeWxHjmRp+lXm9B51oMViNq4FdZAMkhscBiMC2mAGDTz9fOaZ
OR2iO/PUvnaVlUnSHfLeXxqyBNBZFRHlTXt7sEfnDPvdthQlIzi4K+1G/z5bFfSiAjqPABdoxY4J
1oAI+p3wkBWoppt3hASU1o6GFOw/BfPQIXD6gP5L7BHZpjXqXK2MCNDUb0dWziKiOY5679cwKWIy
gH1uQP4qFAPBDCwidsgitaFVjrUo4bLvN1QRl+BMmtOY6z5+pdjO2MaGYseoKTbOs2W6UbzjnkMV
z9eG67ElZ4Gx7agjN29yw6OrsYtm1o4+4LE0trhDhaW3Eyubhm/5Yo+3uT9bV6ZVLDsraYpTWozx
a1IZgNyJG1gPVut1W2pp2ERgYM0vxAD43nWXDnrljTqqE1NPtp/p1mV0KA3f3EvLaY7M9vxqwxcG
qY4s6NCzSOwCGlLuzNHv3vyS3oGsYfxbuam88xqiVnERHYWE7sQH2xztAkdu1jrxiShjQAHUwddh
H4ARaKbm8vcG6RrbGeXIMfYdOJuixJAWuNXL5T+JwopMQJ+1vw7yaB9QunuwnUK+t1XHDjY1NihB
6Iy3I47/jcGyCdezCP9TVHAwEQx7dJV1ancBimU5QaNMdbjpC3Djssqkucoy+siNiI9YpWNxoq9G
7P3Kaz/XWccXyHJ+I8+RBVUezUleVlovVW9y1kVh8pnHqTk2npjuCiz0u0skAnkW1IvKee7IseB7
uRVYuPRY+9SQSjpg51ztGdXY7fu+DJrNUMQUp2cLqAjgJQ+DntT52EQLXruDR5FwbFYV17+5GFdR
nch3wD+KJoscRDFczlHTtPi8yqgDkkF7ntJXu9S7rhhHl9oOKmo9BCHnOieLoV08wKt4KU6X687I
BBlUOWfAWchcJFZvuU87ylZWw6ST1fsUr6MBeQwowpp1X/b6mJQ9LJvFP3Kupps6GDhsgJRrGqOW
a1tYYk80X7elR265DmYaXDHKhRtqX5ed73IFdK6u16HumV9Y5v6nhIqobZQS0o6UGTw/kOFmouHl
pTL5ERQIzTEQ+t/WHUfLorWdLEknmK8HfhElvE3kbdRomC8k7bj5puiKaE8aifWQGozXVgDOSiIh
C7+FpfL7Qoj7eci5mpyFX5pPRv0OlEiCEK/z4amz0WFH1hifBlrq3uPUxMGO1o2K15RbmAwtuEma
g08xHu/3ImgRhanJcIgyHkoT1UAZWw8sB3xDgUS0x32YFEzAaBf2kcjsK/aW5nNHuyrtv2ZZnPqa
wzS0tU0HL7lflxvWbov0K4Ho8l2FGX+axP3hVHZzfOyAXKtVHxrt+0JBeGKCyHWKn4uarDjz8P3S
e+2wTq2M1aOTH8IMIyyVMXbQoYlPZsfZ6bqYm33iDoz7OQKxENG+awbihGhBvXaAwK9lRft0M6Jl
XS/+Yp3LxLZuhePHJ690+OQdm4+3ETwO96bjAX5AixJ2pq+CEcvDlSc9IAXcGsO6CBH3rcao5yoJ
FvNLYuYSF1ho1GhEJPd03Xi0K7OdogDk+Ri5HCkCLo1Hmk3j70FMoekq6vQ12JhkqwUe+VWIzMhd
DwmVPBgBMWsUu7L20SU+fAt99uQ1C8b00tbZ9DYNISxUy0DeAKXKZJsyVvBmlDm5te0gKGTr+sfM
HMOvcnDj75QWoB72KBFZJSNvJjcb1W72ghkfL5bH4xCp+DX3PU+sWvJYqeqkomjYUGJGjf0FEv5P
hsY/OOaRUJvA0v+7Y56eFMwllELK7EcJ+58/999SB8gz9OaQ6I4WqvMr/5I6WJjnwRB1KMZffiCH
//mXWh3LPVwmw5cNpuEH3r8Vha4B858BdeIikTQE5HNcqISfcX0AijAlZSw54iRcrs2qoc85H7mJ
3BI3LxENafMx9YP6kBZ36A+H5e6Pv/J/wJ/v6kx07f/9L9iQ3/46qV1INrltncj9A+7/gX3KcGJ4
BTjKEfUSj+OEGcGwW7sHv+Qx63Vk+HTKI0fHtjoCzC01M3ahjKXp3a3nJ1xKOGTrpLUpwCt8zKOR
pS3ARWyDaGYuyWGzQUmvLBrUu21OB8E5zoK53wqQuy32veU6CgBCdbYYcbUM4MXNkIrhW5CTqbxW
GY/4JnV4hOQEDTwoYw6o5gWZDEf6XZaAzysJ6SE9h+4lYC6OG9SYuOJjcgfyVJXvDpEkOxQqxUb0
hnOce0Y97NuuIeShpNSxJ287JozjFOrKR0K7OEtfh4QQt90YBYb9bA50om2rPpmYu4vU8F5TM8JM
TedL1KXnuiO90iHNWsnxThEDnAJxhWNygwI7DUmqm63kAbDXp/WPjRbIAvlUuLPboTM3hCQ53hHB
P/9lYsGFvUxNIZkxAGpXiVFkJNbOaQM4C48OdTCGwJFrq0BkrtM5/BhaeqVE8qXieX87BHONeGVB
JgvrTtq4lajwhYDdztgKa8RKCSax7/1l0/FPq9ocmg+PmsKbIMxZJfAsOwci5a37JbPrzRjHw0tT
3sNGlXu81GDIiAf3YbSTzQAgN5S+OjcVKlFXSfAEAqq9jh1tBZVTr405iu8Hf56eCukVL6aWVwSw
L2vH62twg8L7ZogpfyDXdFqpiNYlsAHQYmFlxw6vyGuO9nY1pil91EEjjmQMdyc3Lg9EuJQP2KWK
+2EiBpQWUkgHePe9YY2kD9fo46MZH0AzNIzmUfvFq8k9rHTD7eQ4RO8nAMfm2FVnUNJ224Jsr8n6
K5/qgclGGVa6T6Y6+vATfKirJm7yu8Hw1XsyWB7de3I2b6I5JI+/oxDpRJUoP4Xy1rxvAPv3o1LL
s2OXj7khSdL2E/YM2y0+tLTw2Q+5qdzRcXHrxq6OrhtWvpqqY+OM3+IYaGyZaGOPEEbMK54J3Xuz
AFYvWXOw0tFdFXI8Dy4pVmVBY70zLNgy0FLUhyZxC7rwLP86rgPrdWKFvrECgXPVHplAqLM7woZF
696t28eWkIdbZ/TIVXAqB7Zlnm5KVKGHKpHevZQpbYeDzF+USPNXzijV5VPvnPt6KQ94XbEVLm75
IZPOJ3eDPGzWcWe5gzofrqpOhRsGZ3yzsQyDhznvgJIMOhB3hjNl1+HcOATdY4dfjZr/KKcmpq0z
zLKT8BPntg/79mponOwzovppQNo5mteyGDLWkUI99kU/fsoyX54cEFEyBrPotXbn/LkZ/O7ceTWT
4tQH+Qmt5AIPVKUYLHBMH+VCXl+3mMnGpEh7xy7qfSfeWe3Rq8yfp5wAtiQCEy5kdSRD77pEtLyJ
KdxiMqHZksbfox1J8AtzXseRg6XB7b/Sao6loRDlwUzIkRAoxjcWMwNOFRHsCGqboIx89UXGuOhN
kGbslMB1vkD9nteeuqH0fj7UxHvdx5RdvqBsWz682BruOSDxLTg7G3kwW2BwY7XhPukgF6b8MOLS
2wMM+opatrp4kllT7jnt3C0Gw0gUFPKrg7sTl2CFhHiiRHI7+ZML4dJ0d8RFCHs9VHRu5TZiY3hl
+/tiU5W1QprbcynPNXCB9SinYrhO4+pODl10Y9d28gJOXe4XbBC7yZmNYWWSPHftZwV4NVP1jQH3
cT9PA5IXYtOppa2tch+V021Jvzxhf9yop75P3M3iRtQzg8FNx6ywEpw7uYDS9vXy7IjrXnWrKHB4
1IhSnA3fy0+2wvXqzyQPrc3OgEdT/vyR5uxXfOkQ9Lhv8/yAtkh9KQj4JiEQqALqcxur2n7LyRg4
lpgR9grR7KPV5AiAgy64IXd+AqJTZN2CrqqnVoDPTF6gR25pvMu6N3mjWeNDmQEsr7h7gisxjoRs
svnPwPLKOwjhjSckscM+bq3hZugaSNLSFpgnlXoegcnviEGMN9CNy94hZOmeN5t89TUmG3Yi+D5n
Be2IPgEfqyhKvo7FlG/dbImw68vdWIf9ecY3tkGc160NrK7FOtKAcGgVYMP0JpMgUoUW9gJQDnIR
qPQ9lamrCBsBYK411BxeUGdPA9DCtQgwjwb1mUI939+6dVJ9cZIk3AsNXxOeE54HDWmTH98QgxMe
GM3BMWeb9xv+1q68YUGLbnPQlOtCY+R92NYnVRvdddxRAZ27hXczlgFxFrSBfCYmm1LsC+DeXsD3
VuPw1CCHVwio52+m0+v2tD7jdR1p8J5QF+MxTT2cvmSc7KcLyl9fEH8e2tJHlg8R0GlKICiEc5OZ
seCxNBBtFZZAPrmmEYILo9Bf2AXWR7WuSHxZT3UQvpNfKClsdd7dvqX/MhHep1CzFegcHfLmI5fH
4GwTS0ZnYxKLa30CT6p0rD2NhVg4RLbBu2tf92GXHxO7dgj4FJhxE9t5CjR/MmkmRanaI/xR0yuk
pW3xW9HeUGSAEDVKifnCx3iJ+0G4IyQNBgaSg8Yh+mR54IuYXWzof3gd70LxVGzXd8WF+LGHCQ5I
s0GQ5DX1Bs5VeKGKqPw1r5VpsT770ynq7HBrZYb6RmUyNJMxwzjh1QoOATKddav5KBHP7Z1cSnmn
u08OOXUwWMc8sSZ7zFiPF1ortprgM7OA/TjRRjOvejKDvoeV0b9WmhWLC/kC+YfgJ4/uMXe1Od/P
pOaBOaU92BdyLe/y9DRqxs2/kG80W+FsDEC4PjLZVIrKSpg6G8rOq3m9zUWYcGmiuag0sxdrjo9t
tTr3F+JvJFgo3zgXQnDiIXzjJL1CJtDAFDXV7XChEGPNJvK+Ezs6R4oNnbMzVj8rONh1Gd5eECrk
fJCSWohEcCpUpYKz7BGWoest4DEDCz/e0SsTClCg2u/GC+cJ8Q7/GZg14+vQzlvCPcYHv8GuN1IR
dvTNWdx2hRq5TxyQHYCL4CuDb7p13cKmMIjHShjYDNNIcyBkO83NDpjunsyiLp9cmxnQhWdwiStV
6lYWXXReCp9pJfHiI+GRWFZYjyGBi5o3GDGs8THrh2ah/xPCOO+0Wwz4PesZMaP6UF3YZedPrrno
Zgvq2VHhVTxAR0OrN6zrqbr3Dah2123mG8Qf1oaGcQIzEwWpLXBeJwz+L4sfnnOY70RT4D1cuKA7
mW/pnqoisN4yotFXYPLlWhGgyUhW+S+ErdrQbwFg0ZiSv6xpd+ks7/gOvgBg3oeamAfW8UnCg6xv
VWaua03gm47hrgs4/UmT+yBq1Za4hCdOCy1JWgIQtbjRHEqqV0aZ0cmT4UlBMWBp6cCkRQTolUuC
7hAWSC0xIPw3WpXVLEEEECDUtJifEi1KEH24I9t5PoGi3KZauOBcNAyhljMgEW92lpY4LFrsEGvZ
w6IFEDVKiEBLIhYtjpgNe6IoFcEERrh9pCUUkxZTSC2rEFx+70YbbBEUx48V0NlBGvFMrhaCDKp7
MgKAEWksWq5B/x6STglRM7fdspYXRYeLMVj3r94IrfeIiny+JRS/pGan3GZLV7EnSOK1fElWyt+v
hr+vpT7qNecSK0cY3K9q7DR2qULsw+yYVy1rnTEF8amBtsMSo2VWrinYSJmlCEvpCbv9+z/+u7DO
t1Fg2qj4UIVa0S+aYYK3G39eZHa0prr5WPJGXGGeSW/DIioe/v5P/a4VZJ+B67b09hsGv+rpM5Xl
PgEN/ClJDg/+HZBscoqT+tvf/53fuxc9ZJsIPQEcECaic/15zy/qmSimIkiOcLPzLg0b9+j3xDWW
IuvuiDSnpnOIUjNbz271LoOEjXpcEtx5caqX6zjl010+0n/wo3/Cj0zUzD+cvd+MMtfvPKvexdef
wKM/fuhP8Cig/8MlfQRtqWviajG5Qv8Ej4LoX8hjPbIMeIeEP0FIEc0gjMgwoyS/OFzd/w0pBf/S
On0Ly02gG0f4V/9G8OJvoI4JQAo9ZUb09dF5oK/5H0AdYfZ5U6XFcggSy1uQULviKplI869wga6T
hKDjHw7P/4Aj/XYT0UWAGBT4iE+OTuKXaxvdSYpl258P05RTsGAMw9r3/7G+9DeROF9Je16A5nzu
ol8F2p3Xotvz0umPxghSidU9L0K8KIFLVrYx6jhxcq/p5zIe2jGYnv7+S2JC+RUswyZCwC78McHH
HFsQwx+PK5pVXhRz0NHcRiQaAiwdoR0AkQ0uHQuTTVA3mWpNu5/RydMpjUpHq2Ayg05ZYJ5PjEy8
/Gvo/mtsgxl0m+WWEFJjsZvtgv+W0Hj2Iqc0KFmdZA6w4MWtLggJ5/k7yVnFg5OHKMmmcDmkrgdC
H/gKyQ+5NjFRhXstP81WMrEovdK5mGqF9pyQazVZjz6dnjcNEopHOPPprqN29TT6rXwPq4pXL87T
+XtKmOFuoCjruexxwLc5SFpsURPaxBlJRaPG/VICYt/SbJavuJ34wZEl/KqFL9jy0IsfaEyvug3b
k1kfOVR0hiaYiqx1jMeACH7Ev7ABurEiAGN6nMkM3gQTdS2eWjSmGPGugU0oVzLImvu6pCFkNQRj
t8478sxaP0UGDJBwgPMaNxiDmlPR2+oevo9g8T6YeCFSiXGJCrecbnjOIfKfVb74nzg7RIrj7dkK
m+GiJ07wY6ambJ2wEa+zUcxPaRfXr+QMcGaUFObBHyPuoRHY1elEdOWTyXAg623+PvbUDZgNP0I8
YfvZJzvuitpa96gSmnJ7RE6f824UV1NdR1dVFXJE2BlouXOrkeIun+zdVVGWlNJI0shHQdg5kqzi
QfpptOqR2bKa8+JzY/4xKTDFkUlnU1GLeInEebdXeJi5nUOjm/d+1pdH2uDkzRzoZg5K4dJN64hG
YLXF2CR1pUy3MPEF7F+AZHHxkJCUhtgrVTe4drTrNBm+FSZuTtER6l+VpslDw6rfskkNz3EEMhyp
gV+lkVZJbMXKmvjG0WjIm5i0orVvKO/WSAi0dyO+i+/mEZrwlNZ3KvJIa9SALu6KeU/gkXubuJyJ
WAfOu0LOmwr5ATmQyJu+j0QHvqNy89b4WXPEfuC5AotAHD/4Zqw+KN9ZrgWA1ZM9VtkeZR7TfUP2
PFqu7itZ7tYjLv1xg1UPrlsnvbcJ55H0Jw61vkRLASc+M9vvlmLmtaoWzoTr1/OeqLf5Ox5Z+Vom
jDplW7yORtsjRGetSMLvCDeg7zKjIvaxjSubGCTvzUS+olNC+ufE5tpc2QC2e9uEQnbd8s2NgwHt
WSDxcnhclJpSm1JOlB8Y3S5WrryVCExvo270bvs5puk7a+Vr7/n1m4EsaXuBtxubHian8uZz7hje
pynUAlJ2lmgdUlr9nkBtiXUGHAPHB8Z9+XJhyk1ARaHxMM1SdJuJPMzrMZzbz0jnioe5RiBPRQLH
xyKX8zSVebX2RzM7dDV5wmsqmLO9N2WYS0jy4zRVpAlqEbR6sTLmlNycqTIi9lfddL6dhPZnBjMw
6dehpsDjI2t69zWzRFUkh8FZhHvIusUQW6rnR7rLFYn4pzFxevfBKRCSKMLmnxi7ujUxfaTlWt7U
4FNb/B3XoQeabNusFPXU8WjqxU1fs591XGEn1yjuOrMl+dUsHwyvv3ErWe1wuXv3C6T7ygvQDjZe
ggYxvkFwg2yZLoBDYi/psbKLJ5YGa4ttvN/2LjtJiKLdHfqvFH5UR+o0P7C4pMd08QnCt3p5VeNT
35beMCHNS7qvVtaqbZK156lT8Y7MDus0LUW0sdCNrsvASzZAv9mNuyDgRpM3zOsGht3Pw5NRECib
0dqyrGQUqyMWE+I7jAk9FfWmqyorSGmoyvJ7IkmSXLGSg9m3LtUsrniYyVPe2pURnfM0kdetn487
P+WGVXllnbM5nrY93d4YtnQ5gjWYRxMJ6KEKYMVl54RUF1IWgHyN25LmzX3KXrm2jco8j14WHfrE
+uRUJKj6hP5cWSJyyq3Nsf9o5Tj6a09FxrIiOFVnIpbdcLBlhpPHGhH8x+h5WpRegu6KYzJGFgq9
iBQwL9Yxi3H74dRjv09APWjNU1m4G6j/XBEi3G1z4asHvK4WSEjR7hKUJ3jVCwPeOpzeQixhKzIg
p7OYEtbesiheIwOge+1P/rxHbI5OKfCB1jHspGuoIIcJ0VH3TGds1BqzOEqer+Zm5iGSUlQrbTqP
uK+u3bKVZ3T5C5lGpn20J0nNZZpyV7VbiHm1EjVXIGpE7yT9ZnpaRgerfo4GNmwFQOzGGYwaIaG/
vMvS9I72XC2PMpd1QmZDdJjASo9VH893WeEsmwG27FRUki4fu6y43IthVRIXvKV7y70PWrdgOCCZ
nZibkdZKGe6UMVRbQ1seRspFN4Tw5y+BT71xaM4j6TvzsCKG3tgRmlMj66ruS8vgXQ5dfcwyB1Gk
OwybxEii5zJMrH2ZccXTmpQew2EiS2CM3es6ql3Et6PxgFkF1kAt80mbjEtcFlGKVcRvqm9uAlod
L8FVNJHstnbHsSHl07M95NtpcS3bxTrKtELRm6V+cy4Ju37t82B2V4E3Eg9jk+J2TmdU4evcys1v
sqqqcuMGwp9A5OlmWUhRYVs3mn1PhuDrWPZUylAAkl+5tN5+VE7ua/oJCDVBr0h6yGs0mOZhTAtq
TQHrEXYZk6A9LvWGL3VuwTCVo54LpLqfpq7c+GoQ9TYkQ+VMUBANPzF1UWR82lUK+zI0V5FqqXhp
yH4gwYrepsNEJk9L+G7t3c52nB2WVMgvtkRbgUZ9LvS5QTigR6RLL8rF5QJnRWyPjRkjFLL7Cow/
SpJ07LrYmTRWIb/nKfxdlCVyldmIHyRKfO4B7DtXQWzKeJN4Wq6QZiQm40S/XbLMeDAogOXrZk66
6wlkCDcJSZcgmjNuFMA++WWS/SK3qcdJupTHzD1T4R/Dl8pA8nNrbr/KHEp1YxOHy5xcwT+tpnmm
OCyT/qeJEAlqahgYxdYmumUDGFge8fmJq7JZloNr0slX1SMP4yaHBq7YleNN6rW83KOK6hOhu18y
20luk4pJQ3i+vEmWy6eI1AtkBGMpmJZ+KGOM+d7lzCTU7jCeREpZdzwGxVdH+vWwMfBD8tbGIwYf
hIijIkqZkmmYtZQAZgpsIFGhoQ2AhwtXnlT+fDZJktym/TBukoR3ec2w9YpksVq3sx5/I79+Dbqp
PCLnNVdO4lqPMCPz93CWlFAscY2tKosQzI14eGa6gjBbSKc8FkRi/ION0rN+XyJwuYcsjSwzhO3/
ahokUhiLyTw2h0nxLCEARuZbVZGyWWM72chM0NyTgrLinhwOuCWTnWHZ72EuP48icbaZx2vK8MZk
08uqvh4a230dpBTX2eIUZ9OsnDfoxnS6lokUw7mhMRLpnFVsCONYdhn05b7iFB6SKPNuTSuVWxI9
mBPKKrrixY3sEGrn7KZMUY3qx02tz6zt9sbDkGC8M1C6YJJLTG9lC5dSOKfl2vZdbPvtWGOjJwz7
iDKKWYklhXkwKfiPCKrk1De6J+OPGQmpg7oXpdLnMtLjUsEgFaGrW7lkpH1y0fBtqZ6CagS8ucoh
aHYDtrl1MqTDszblpoT72OVb4wBGnbpyCUhTiceEg5Rh6DAmSOWtlxQpVejSiUvj4BAUTUKDZ3cG
la98IWE/17FrATw6sjgG/lImR1Jxsg3x0vwfMYNUvDFboJx1nPmEXq08Jp1zZNJeEpQOIffuyCzV
mCncFTFzfONERORRcfGnsCeMUAHuN6B3hivWGIqtWgbANnTbz2bOiI8Uzlu3HqYtoEOJJrBhYA5T
V36Z877YNVmX7eFhw41ZjAv16B2DXCr8/rnLyregYW7HkCZfw7F0sk0za5+MPnZRgYHjtCw63MJL
jYcmt50LuHVfEI29j+HBxZqsqxKiM6zfJ5isd3emer2DtCIZeeJ8OmDDd2wA4dWsTKixkWXLL0X7
mZa59jPRMs7RnLr6rdMztSCWi7D5jhQfdykhbedy7HfWkkBrtznToggcWOosuK+cpn82LayIaOnq
d083P+E6n8/SYmvZNGLhzutqqyUCh0VeqVLeILMN8Lu4U/3exSLcOGHHRBq7bhfQrrdwj7RYE6zV
ZPEvO3NRH7WgXTOsoPRapvKVRwb/AZZenZRUoCE27srVFOlHV0oX9s6bwU6RqqoXMvTDK2tkvSXA
KbpKLNmcsjkQVz4pr/uGB9demLa3rkMxPIcEWq66kRYbaD6GkJAxvyrYy4OM9SQcxfIdtXCybLNw
ka8ktt8NUyC/oBtmzTE9sroF1VjVmOr2YH6pMPTAoj/1BDlq0Q1dc2HUpT4HzkhihL5VJzZZXiTF
uMF1IN88NfW7qalyf5WbVIXBcrKRak1MNpksTunkqnsTIcS4hq3kstXPQCkS+v3YsWeCqZDE6WGD
fdpBwwygxbcrAwrGEqR+k26OvFyGto4j5PJW5mHqjfn60gHptLO6v2zaVASgRaG8ee0jYYFmZvso
0XEQJ8uLrAz98KqPSTe6rGUG+dhfOlexUQD0cOg1gLJk4UxjI4s4go/vhHfO1wu3m1hPc8JLYJzA
IEJURlsTVvpBSXci6AymhvmQV2FfozlWuhgoFR2nOBnJ3psWvpHpwxqQK8UtWBMK+GjTwwXsUpiY
BXsE/MQtsUYCmIxbUXHHJFPl3dqFryMHTLMBcBhaPGUNSMziFuplIQerpAl6VB9JzqaLT21+EmSk
rGK7KY+GXmqx4fFYY5NC0aw3ZC1th2VHkLIWS8ZvqmyWbEUZI/on/vxlbw6w81xPBZiZqFMXQ6Lx
zUTHw5gSGJy+suIlpXSN3B+XJlaYnXRZyYXWtphWCUCuW+QUlatX2BPUS22BXSBbB8vo9YwyUloB
V8KEiyq04+GOzOtrXUb125Q0IXWvKroaA56z9ZhyCFOPaAFTOJyQoiDys2Vs3bY+YxHBidGVvp5V
ox/DbVy3+N1LkKAoo1cuLxp+POrUfM5QvT2mGm0cVa7fAgzGb1bIJeEuffu1VwhoUytObgOM45h2
9fVTuAxePImIkOfrxBp1uIwVoa7DTQpRPFTkPu60nXDjB3jwLu8GS3fk4RpJoYS5mvBgEd9I4/lt
kBger4oxCq9UxBFGvmY/4lsf1roVau0TE0CyMSc+9XMUDz5NMVnPiYwA5o5zaYqrxenFlWdz41T6
HKTMS69tOzZy1yw1Q9Fo8TTD7/U8j4wnsgAXMevSfrwU9MY8x17qNpSv5Nogr6bIcX2BYoYOsCi0
kaomhEmjMgbIaHmayDXjZbHTgQU7VU/YpjuGzEtFQod26aAgMOlnNIf6jSAzgMERrM7JYka0joHF
8WmdswH1tH6Ai+fymJ0CjgYbO/5sEqE/s03BhEHn6zkOq/ppahy0eizLT0ToIZgl1HHGmDdwMNF3
4MjjPiqwkn02/UEyWztca4YZP0wjOAXNBnAngtw7ON4S8EY/KnXV9rYpnOJ2CW1KEHxUbEMC/+eg
82LcZVXlnmxABUWHTjtAYfHoqKD/FmjPccdHxxlbcONmEcMfqm/5pa0aRg7VLmR5C26yTNINiGH8
bRg8jhrBFM6R6EhulQECls0TTkoMo3phKsndFRXzuCZR9UTMLb2X3aAH5yE7YgZ5ruuYQq0ZAcHQ
c8LnsFiuCxso8/KPlxtzrnJeMQZezQ9v5J1KRpR7pABzuptsuGWauzJsKTU3dOaqUxJ4PGQGjyvb
lcHikTyYLdfSX5iEx2DeTW3xvXeX2schQ6HiBaDTFkDXZiMY9RQwT4pRGHNxv2eB4xtTfVvm46EP
3Vf8Pikp8LozmUV223vIpCGE+/DUxV39Dyyg9RsNCORNAa+DJxzNfPArE9fXTl0hhe4ObgY4jLik
924vZZRJhwZ+dnm0pRHDd5cghA+SuiLU1HMO2DveEE+wuwgSMFtnmM9ilOql7133diD1/IlHwrL7
e4Degj+RP0lp+bAh2WQEyXgRlcG/0IZhEBbBYDjtwcggyYcWo8eM+GptWjk8Ws9iAlrBIGoNLEVF
1zJaAWVos279nkug1cvJ/vsPdWElfv5QxDuSLaU/VEB21y/cCPIE1ogsaSmtczAsRnhJNm3YK6oy
DKRiTZ9u2N6X7UwZCINOD8iWS85ukIKzohmiAn3konJKn6dB7NVfYUKD+xBh4ZanLIOh0dRqpTrP
2Pz9J/8fNhVCHC9nPwjIprkwmj/QSI2N0zFJjO6QGLY6xRG4Dcg906Miu/4eNzZMBHKCzcAz8a2d
eYsI9KXxpu+8P7mX/1CV/0RVEinFVfx3UvePNEvexU9U5R8/9JfO3f4XZNmPae3/n6qkO86Fe4k8
l+wj03N9GLe/SuLCf1khpW3cRgS2oI/nU/wpf3dRx0eeCd+HaJ3IP0ol/w2u0volssumBwOZAVgC
8Wuua/4qNMAcA4BattZZMNB0WMIJfZgOjad3FbwYPkxWOlf1VV5YxviUTSSOssSmGPTaSHrvQYac
0QLZyx3yLb3cX+YGigSJ5DmxdQII0EIB0C/IzP2HNBz9OPnhzsbpzAcOObRmaHs4dn993LTUPMbN
QlQrD78HKxXG2hsZjuYhMHnBzPQb/3Bq7/741T/K9Z1QM4w//0nXtKzAJS+cTnSO2c8MpJGVjjSQ
756JIbvC72Tk63KwLH+fu0B0kErKUAerMcGLRnJ/JwS/Q+AeIr8f4p2XpFZNzSV85GoZAo4KtZQ9
5R2dP92FIgPTp02WPh49t5UI/pe9G4v6nLdW3AB1C6Aqq4gbBOcN+Thrb+pB3MiJ5lgb/jA9ENgA
wkSo6XsnZI1kX4X8qSiNh2TbBDEV2CPyVvomUByFa58zgjCva/t+FxNTSwgJjGADbafWCBm998aB
45ldI2ooQZbWTRPWRbYO6GGnliyL6OCx9Cc3U7eEMEgT+9FiTSHtI2j5bm0DCGSgbb5LfG2nmOws
nLaOZ8tXexgpI/Wxf6a3aD/4RAQN4gxAhzQ9NVDMS4YOnHeEnadWe7ZrN7BvKNcMDEImZl++2AyF
6alrWq6/BNfi2kDgMzwsjWDwc0p7+iwvKTiO3XHkspYsPkDkeqqPjYRuXQ9NwQ/FPsjOqpQD/1b2
BGZsiYGGMJ0WBZhgmHme6iW89Vd1IzTWBwaerfNCeHRqJ/FzP9P4PfTY9JlwMbNvVObfpz7049ps
FQeJLBbOgu92XfuSwjLKg7vgFdxyHPFWeJm2amUIi2ANPV4ln+aFTjRkpJ5tnen/K9PTok9JoA9O
pLKC8yed+hzhwrAgMDpaYpZhGK9TMmjujdAEtM8nbl6NsIWs7wQzb1tc0Uzz0EOE7/oBxeE1WY5b
uLGEagJlaWx4mh/9zu5ocYumgMz2mM14wSXwnuSddz3Pif//2DuT5biRLIv+SlvvkQYH4BgWvYk5
gsGZ4qANjJowD+6Y8fV9IFVWSVS2ZNnrtNrISkmBgQDcn79377mPRu+Jq6Gv8xuY0tEr+XbJAWGe
468Tq/ReSxJOn2obkzmNBx7ZeKAcQQzY+mtEwtxx0h9BG1iji5pb4iN+RNHftLcWzC64wr3HY9Nr
j9s7JIWrr3GKS3tHRhnB9euiUzbAxMnx49nepDyRYBaKke8usUG+fJnSCT0vfyzSL/U4jHdJYXIQ
Inc+WWONka8NdXi3jtHnPzDn5+shFky5KwMou0vnfc4LRn1V/cKd4eXCkMhLmdXVEO4aE8jJM1Kw
8Q5pBC8C8GBucGJhoN9n1LMXkmkWUZljow9Rn9K7SRfrjWNLBUuIfMOzTSw5IOWq4yrYkdN5JXjb
gi1SDe6LFyxN1k7q6gK7nqUfsnk2jEejIy3h3JLDom8mwvMYcE02y+9MJFnwLgFunt2FUIgP9A7J
rgXSZx9nHJv9ap4K7qVmjpzgbx04fqJp5kbUdGsPITaDceewqsSnWiH1WH99kDOCd8ddxZxDb9x+
eSlazQGGBEtadyzmyE+TzmAKDjo0dp/H3O+s6zSk/KEpIL7StAcBnsdP4Rgsvl0gRVE6Hrww0ul7
LTSNQWRrDO3s0G+zJ80KIWLGnFDgr6uiLElYGyOD2FAvjwwSDMjjjlZ0cNMTACq+8zbX4iqFezA+
+V2oss/SKy1LrZyJaAFC43vLui7Yf2bykDp6e8ewtLAmE6jumuYxtuxZQ2D3ZnyySWQyVp85ZyaR
f1XCQnyWfReuq1nce300ktJQVN07hBHGlhI1xj9YN2u7i+KjnQchmocwwVOe9APp5GKSm5jgvoNB
7MSAfCJVRvIUxUibd04t3RJefz2BNcoRgde1bz42oDnWdmG+N0qSi1qITSsCz9pVEg+jfxCZFX3I
m9D7jKI0ZOypEbTm7hnUm0LuCn/t1q286L20+3JbsEltmLzYd1jTy/fCiYudVZIbvCZ6GGM1btyb
IEKt7tWZsgEtZfllUkf5OyttvFVgNu1uNvD+GP0Ih1rTKuuLob7u87k4Swax246O0i3Lev0+Dbr4
vnfQ4XrmmO61apydmtSIOb8q9z0ogvuocfN3Q+E00U7jCiI7gaogz9QMCCHIdmh6YKWpAZpi7nks
e71dPbDp1M+lLOp4k87NItg3qyf8PMutLegS+q7syjVcofGqdhmmRUlfbCJiab8kGqtxzmHmYM0k
KA90Tq9k1HjOJoa+MTFaoRzYLB71C9UU1d7P1ZSv09yujl48WrtIits0rOq9OcbdRvMZn2mc1AO7
VO8eS7QA/XYqvO5KtU54T4aIuzeaOdtJWAMIlo0ZlejkuldG3KoLFuzpYJbldBwMERxnrN2AsbRe
t7S51wq/G32xxn3ok37+ZJp5eoGja77QpQ7y35wZfirmEMXZ/A8kOwcZmm8/1ieqKmxQ37Q1xrbW
h6xEYWAONpuQY3A8YNBXXQCX0odf10Vv5GcUYp4nJSyRRRaGxPKNLssJ59iLBxkg02cVRQHCwlC3
FjXGr6/zRpb69ToLG5Ry2UK+95byCq/S7ZogCk9OtlQYnqlZs5dusxxDFoy/fzHPNDl1UyAjGXxz
KwXvsIElJjj5+RBsq6UruNCR10ZCQPqvL/VzIYtUkIY1tbi5hMS/KWRVFHi1MZruyQYUcVXSRt7L
gaZ+A5jpovGYz/zt6y1+WxLpEU4ijXuDshR+xWubF/I0j3H4+G0LAjbIjiHLhmqkSSZu76+vudyu
HytnPtxisEU/yJf3tlifChhFJBE7J3q5VFceHdaEsiRkBy7HxS3uIJCz10bR82fTSNk+fv0L/PyQ
+pLkJ8Cd4EItmMg/vhpV6ShzzJlWdR12vmGgYTUKUu//H1fxBO0PFwzyT9PFPLSGMoTifAJ/ow9T
UtJI8KfhNzfzrz4LXTlfSrosvHhvnk23tS0lDT4LQ3N/4yZ0bmks/z8eEwmIHkUpp51FXvrjHctU
oWjzVfJkhbTJoXXwUPQTws7tFLbiqq1HDFW/vn0/r1+s6awmfCzsxFz2x0vCXMKJl7vOiZRjLAy0
lE+z2VOKdDnhDiWdfGvlNjOPyK+v+/PK4oPWtVHymXZg/fRGBAylsCVJCzUjb3dI/M1F64KfmFNm
J7++1F98RB4ODzH6EgHP/OPHj+ihVOJShUXfd+k0kgJ9MTctsjeHByZbTnDj8tT8+qJ/9fmgnvsC
kb2L+PnNRXumUXZMVtsJy7A+lIVjH3PTj/ccdH77pi+tiTevekB3QjqO4wWe//ObhrbeN1lPTrNu
aBWnopDAJjD73gE/1ASD5KjMwokyeRyo6wZqreaqVyhidg7DYQ4XlXxlQNZ8EjRoqTrnMo9v/MzF
Cfvr2/JXvymtDzIybcuFeb+8Z9912DDRDAkyEJ7wwuZCSchwYSGONCuoKzxqaUBZ/+tLip/f3QBA
DnWlHaBk9t/y2KOcfknIHncyfINad/Rtzg8tGplPvsbfvYbpsjzvaSKuVJerFxrss9jYSTDeYUtT
WCijbl5odsyqsBQhNv31L/hX94SVkmdF2Hx3b1XeJnS9GSaHPBWzT9FtyvS9iAz71OR2Scq9Mn/X
xvnp2XRJCeRtoJXDI4rY7scvQUGwo+if5hMIAee1YTafriZV8piONafxX3+6v7oYfSPbpEHDUvN2
F/BnUjIiFUynMRrHm7RETYnGgFOONGtOSb++2E9fNZ/Mh4MvTNwGLGdv3roiMwQ2InM6uaHkYBkl
LU8WLyKnxF9fyHojaiGwkOVyKR4kH86lL/bjPcztOBkxIQ1UEDpubkzOcN3awLKcvQthpDUXddrT
CXEixpPxEBcjJxLP1iuVL9tgpca7OMnoExgDh6V1IxiZz57WB9NwaWXR9bKBJyzdj0GBT9oPVjTd
tCXSteLvLsQuwSLEUMI5B3D9UymUlKhrPYhdJ2tGmT6UXXXBjD7ZR+b0t6suLsUzgCcIYoFnv93e
mJhYbT8yuNSmazMMTPn8qoKbhqOsugCx+Nv+4bJ7fVcD4WVnPbR49fGlSIwrb76lci5sobR0TjAH
nM9kdPYncoODx68NEddr6OrghAYkN47Wb1Y66+0j4nBl14Zyv8BbkHLKZXjz3Vrn5GGbAGYEbIuG
uJiR/WGKxSrBSIlE8WEM/Q/IlDJn01eNaK6CqOINtHWUHDBpo1gADjndmV1BF3HOln6N0t5ysOjI
hVx9nf/pwm1S9IMiufHaySj5l4ZEHgIjyjCkw+iobmXazI+kX7DdEasJ/7LVoj71QPuaFXPT8UYO
I62xJszo+2U0jsJVovrI2/iI+LJLIpgzvYGkVtwOdBuuNHGa4BoT96aahDFjwichji42yl7TQ3B6
pi1tluvGk10AXFDX5zaDuEYITT0jrcJjzAF6Tk4odsSacb7sENsIILzlqlOJbOl9mz0ib3tOy4p3
RqQ0j7pa5OITBPCMpriBugdiY700Q5FXxjf9NPLnxV5bHd2KFuUeWXgYH9w+41RUqpm/nUG0fis+
YYvReQnypa5RNe9aXOYSq0lJyBe0tohUm9WkxyA7gqUb7+pxLuIbu6jy6oz3vW9vG7vhC7Fqj7e7
EkWd3VWzyX6huxafuTDd8S4zLf8cuW6V3Xm1aD5BduBTIKSV82fbLTvnUiuxtKKGnK8Z4Qo/yEeX
r5Jp0nxf49wLtpmVOud+kYrS0UDRu8Mzn407t0ZdtaEPQueqnWMa4T5gA9KT7ZB/kUyXUHxAs1se
1Zh2xv1YJVxaZTO7VmCWDi2cOLcbUt6GXrZ3GKZhYmY8LvEN51X0N2LyEHAC43KOfa8BqzPc6o31
XJdYLVyLJVzO6IROJX5gbO7ekHhnBzrucIyRrECyHkWfXFU6p6fl110z78ecM+zKSgK6jBGkOP0g
Sgm/wU8kD1gZ+651ZSSaveFrHUDPnqcPOQ6thtit6JsxsUOgF9II8RXdtmr8ErRzeIPYDh7O1xac
zDt+GTvG9OOklnxNwpiI7QY3fH349lq5FmuLuczMBw9H0WsJuE7TnJ/EgxhFnBzo9tKbtzAhdGvt
Sp4i5S/agjiX3FerWXrmhKV2H6YEC81uTOjDfxvNEHzzGkp7KSRgktCPw277Woh06cRq2vOrOuX4
gzCODvzX7c9zO5qMMb0r7yw95hGrzEzGFCZfZjYXBdaUeV/UBpOGfHK4sSReAr9OAytKbptS8YsI
YA96V+dWc1fOQo3vu9GzoVMgws+yO78Kxu5SjjkWqDQtnXWHmWn67BtMMrapryzndhI1XeB4oja2
ef8Gr2A/ZgwA8jGmXcGz4jDNyXiDW9t7ojDPWqiZpJHU9ioHwIZOPQzngt68QdruKdcN3foptwfA
kYjafFoSKXiiwjRHWm10yFufBtnc9enwbcf/Z0762zkpW/Z3NcvPlk54YBVbwY9z0q8/9OecNPiD
UIuAUc4Se0bd9icMTP6B7oFB6DLo/Pd41PzDJWAJNyCTcYycy8X/pIO5f9AZsuAuCYxtFGDO3xmP
SvvNeY3NGiQAxyZO2bSC5Fu9sBZuqjoVMYuR5qhWeY5AuiXTL7SmVe06/YsZFR6jE1ndJfVUXsEW
N1bKZwSxLoMu3QovMe/TNpunrbbG7JoogzRbuQa94cDT+zFI7FNbdkB7iVBTG+lzIsCGEDiIERh5
7aZYxhd9PlRnMwqEt6qs/FxDpLrxKtvfF2YQ70MvJDMzAw4C1NRA3oAodz8nsT5mlI2XXQP9ZCbb
y6CPzY6LVBAhLa6/4T3Y4AkUAY168qm6fp8aFmhYvCR31ddgbrKOxmMH1zebq1cvy/3LOQN9vtKj
324dh71s6N1xl4Wjez2Eo88u6AZEDS4K5KOYQueQacv4OFRaffGWZEICKf1jBYb+czRaoUK3Woub
JK67Pfoqfec0DtT4zDPZ9jDb48VMrc+pWZnrVDI5QeFkw3tlIHVFZEV00dSz8RFwEUmJAv3dlTGr
8jgl6rmHZ4VuYxnSxH7/Lq7b9j4IWlSLeDv1h2X69awNPN/rTjrQ5N0I+P9cBhy8/JKjMQXOyoJx
e4xlkHlrqi39qtjZO1hSwxPmeYubXOYfgAW3h2BO2p0AbPNxNrv8nJj62pgjecp0W590OM8XuAz7
dSm9ZufhILQ22k2mGHpPZ2m+zyh7DpIA8Ql3qeNfK4wGOpmdX0zCg+ZfFS4fdAwIRhNhdxaJNA6p
NOP9qML8gb5W/JS1CcgDYGu2tZowPcLwlqnYcLI1CXyw7IxxB8/eUWmnu+ycYG7QbJpLOKxgLh3P
SysumkxCNxtgnPlsY5NlFjh8SVKrg+IwLkc/wrEJLk3j8iZhirdy1OSdI10Bup8ngiO0X1zWrZGe
LYN6ACD1gOSwctC9rQCLRI8hRCgX0EzkfFDj4KCZYkCy93LNf8Vw6jDXhJdsmJYTy+KX4ooZRnAb
hcRBDxB5MbcgEpz6javlFRjw/iOq5uyI+5NhdWoY8aZvOlyEZTxezHPrEhkTtOW7oErDZzyDkXEK
laXSbUBA9yc1mE23inHD3fWo7cJtP2XipYWAV64R2Xa3oivVe01Rtg5qoqwzQJI96Jl2WnzNuX9A
Hz/gLPaBfCTW1ODBsME7wXaNASGFwn60ezO+UEzGP2AFMVE8sYFFa09D8Kqj0n+f4kG/JH59MoGl
ZcHD3GcV+QWpFy662rzPNxB6Krx0ZfFKCRK8g+X3wTCHeuPW2r4UnTt9lrWeoLcIUZXb0A/L5zTq
GrHONVZdvqxSv7QemSArfDb10Q+rFqdnD8KklTI4L7avTd3qW1oOAWSqhPcZhZ9aYz1ytj718bqw
QNvNfddsRqdONk5Msvc8tOi1KuGdQF8zfbbj1Oc+wMOquo4VTdvwAXHbmfse7fGdhQh0XyVmNm6M
oA2dreNp88XK4mA7OyymvWWSzxKURZKCDKrzYzThacyckDqcXJz2Do67w431ivQJL5LCrChae2Ax
C7tjGOEQQq851O97b2Lc4XDgPSiTAQGn+am5dhptfKykB9+0EWkPUggwdZrNSKQrgDl6FQBA3ZFx
rN67wzR8Vnk8vExOKS5tmDjFth0aH7i5nHS4DkJbgSgJwmyDbLTYuPEQMlg0BhJYzPo+ypp6gwlz
uNCuTph2Z2rjlt7JqSfM2GUJxA/fD7QRMpbTjGWzEo7aj2bxAP+o22Ob56BDj6RHNsFsi/npVK6D
tne3NK3nTzOzzWLbC4x8ld1Bz6viHuWC6afXoynyvrtwcuWWLRkwQ5084c/Iy8MEZyUzn/0pA360
irUt2hYB4NSk1+EI9c0KUvdapMyWCd7Rdy624ztXeNENy+JI1zqbj9BRHqVTlneKPsddJ5rQWhFJ
Ez4OdPGxFWmfyBQwd6fFWvbol67FIjXwWvlJXS6pIMUN6h14VxFkepCDDsfKollX/WxtU6kjlm12
u/VYTMlVZwXdTvmeAi/UFITiBia/rpsZO0HEATeGEyOvemA5K6Ebl/Befv0ZrfIlrNeQkffchveO
r91jmmTDQ9QZ1OdxH8af7dmYrksj6gq4zqriUDiFVwGmrvuZZ/wY8cE/1omaj8Ok5R41FKL+UM3v
CToZKwLuSRONRD7tUmciPli0BC+1mFazVrIedYmYL6x29o6EJlXrYkhvVN4xblaWfR1WJJGxyGbo
SufwWLmpdanHKqpQojs4ev2OkA8UBfvlfj7oamEbpzOwQcfw9oj8jOsMe7e9taxB3ubBHH8KW4QX
yWgMxkqrERGWRAF/mmZvurUyPeyDKQiOveiaRx1WeB6E7A+8T+60opWiIfV7QcFXhEqYs8tkblro
y8O6swN1O9hmAbcytXE2Q1/Fz5Yg5Va5AySfkK7ZC8Zjw8bIEcIarhABfzSrJPgoGtuqVrKR6hkn
fPzeHMIM77NR7+l0GSiFe5YaHr+YTdrJYf9iQ/Z2SZ9mNzjbh/eInkn1aYX7YlWJf21NJW9evCya
jMCsZD8Pg5y3WltWdV9OwTN6E2b+fezHNbNd1Ym1WfqkFjC8Dl4SI8zuafs06sbVMGoPtodaZjW7
LvFERSqUebZcBM77OhClSdIPaU2ol0vCYM4VLad7TSrYGNi4IeyYeJ46cL11jEAhXBNsczsLq0ov
WuJkCpThRvwsa1smr5bLK75GWmLKrR4QCKMqAW8wu5dCjBCR9lWUJWZ34pG14L97fYkA61WF8wtl
7/iUZUb5Me1HcpvaznsgVbI+Id55UKU3bRGtFkdPNfXa63oO6dV45+bzCwvgFyTBr2nrvpAE131g
yEsF4WC3XjWye/ECIz24np/fwGPYDk5hnPlyOARrvFUlrYgv9ix7GFi1yuAWKttnJt8l+UGDWLq1
5ZBNa8TCMaFmmjCZB9/tSNieLQDkxO2gXKgGWRjfmn//nJ5+d3qif4v08/9WmV59/qBfm+z1h9PT
tx/61+kpkH/YJBM730tJ/3WAgrL8B6nRC5MG1jeDmf+cosiNNulM+y4nLCY134tMzb9zaiJ8+sdW
J9EM0qSTS0YyitJlFPRjt5H8A4NVNu7PdjEHfcyxgRcYM7oNHWYqzwi+nAnWJ/O+GETeslTjrB0e
5LJ+N8tKnhc+i3rJr3+pl5XeWtb88evy3y47gfV1U7Bsbezo4HXPzrJn6K/bB4lc3Q4keXJlLbtL
9nWjodtobWsGSmuo6fZVu+xINHHUzuz9gi3PLG/aZecKvm5iSByzRz0NA5CDZZMbl/3OxHX/2Jmx
Qa+OrsZdHvvFnbZasLLslTgV2TWX/dPF5rZ4gvTdouLZAe5jowoxRBqD3Z6yOpjBa9jZunfFuHVi
jP6rBNTtQ5ek46vnFeqQNFUI7XKmq6NU3dwwToyfFBQIAkyqtN7YUW/tgthDsiRVfCdHN932ptPj
vDTL8axplp591byDcEanRCDa0LRFafOadj0/lG2XrU0xfshGYDkru88aGv19clYJaV6rspbNe8Sm
A059vsN3eZYWV/7QxzujjeeTLpYGWjzZ6Ad7kmdoImEmTkMjubGCJj0YeXQ9ZGm689IRgXos03XD
uPdgDtVAiHfZnfFrEeYmClRfLXq2+2nZcTPq4DXhYta1jwf8MFmqvPSUOZydppwOuEDtVwjU1SkN
RHvv+vhe1sxXMmAydQt6Prb8I8b+7pIGlLlTwjM2iF/KW6M17ft2ctoX5r75l8lqzAer78jky8by
usD+eUXoCXogig3uFdUoGPDghrF68WzrpN/B7Cs3ZWuZsJszJh+mNLaGrUcOEU1zDTiSJvDYjusA
c6dapTw4qEHBHn9cDK/kamrBsmzMNjrGMY+zreOW8W3Z9CY9gIAw8ykk6bIwq37nM3hbUYy/9lbv
X3xVgSAjrK8cLaJ1V5oFKtcZGWMTgT4SRjBueyNIz/VMazKPav9g9m7+OS2j9Mas6WAnWTRfZ/As
SVWTofHRp19AWEbUENGjBgBKKzou3UWZuB7rVxyfyAglL7YI083SR3tORGE+EQ4znt0gM4nZa7rL
xKs5+lW16m9xn80vOEQtCQawHi/w5EQP+IXktQ9jW/t1tO97j8MiQjMOArG1zaTdgrDs56zgmSw9
zoWKdmOM1nPjEmWXUZiUxrBKfDc82mkaHq0Aoj+BHFjmfUWkBTpLLJcrAJbFI8tIfTOVYJPLSJlb
TjZym5BYdOnFAoohzl22TM41W4CH6rqIiuhax44FiMC13+ccIZkUGHp8asLYgwjpd9M9VYJNimCZ
G9s5FfFBumT5djOb+4q0liFc93B2+h3QHBP5I2qCtSHLrLgyYGY+Eu8FoNVzqxBnslKQmMoEquhc
VJ9yAVlr1bnFeGnPXkF2TyYTTP5TbzxGfdME2xRFSbgmMmhk0itSqs6UbMLdSBFRrGq/Hm+t3BRP
mojEbh3VpOeoXe7CxhgvBY2rERa5HRUdyjZSZKIigHkwuXRjRrNrzHsYVtbkvou8om7v2qXRc6gW
cUd5IgiqMeZ166fFWG+c3sqGe52Okf8R43gYl+vYy81BvitolSpv69eoTnZG17Xpp8mra5FBIxda
s3Gxuf1TB/yuDrBNm935V3VA//rpxyrg24/8qwoQgq0ePhtAPCoKupYM9/+sApa5+p/mEot9H5Wg
51pkii8ysP90TwHrIRGBj+A7sPKWkuDvmEusZar43cjT5MC4XAZtDUN+RPiL2uC7qWPcOmNf6ppU
xbDx8Gg68jjZwuDcMufwYOJCqc1YVycglEqsKqH6rTlHzZbxXr7vrEadwUF01jOegIwsm1zTVhl7
21lbtWLZ6LQz0Wxx+uc2K/SmjSbWkxppyTrofbbDuk2hL7nwr0i3nMRdBy7hpezD/npmKjfSPSiH
bpXN2mOeCcd3lxROdvAgzDCmyHoiZjnA710GfNWKIGVirAFcEGJjTHg2nWny3F08kjVwCBwxdxvk
3eYHaFdgLPIpyz4p5oAEscq+ALdejNchZl28MICfzA2sJIj86PUz71hN2iGeSHRjvedd5W/tRSi8
WGonwP5STUeU8DLdEFk1EpTAL8iEOpxhmfEiF/at5dfVbeCk0d2cZv21ysGWpl7ebpj1E2gcQpfb
p4P2DkWQl2qdOhUgJuYgGE/9Lis3hqNRjF6SAfyurWtSRWvSB8yqVYdQyKTbF6EV2d4e/GgW7TyN
WMrcoF/XJVGv5A9d2UiOS7FuWdGOTiOqLoOCp/DWpwhNyjLDhZ8bOYttnTsIlnuMxPSKXAESViYh
MUWZ6p0AKTcRagHE1UgXO5Y98lI7vEsuQXZGnIbXoZiMXR9CKBjWskEFx83seq89o9MnS5h9wPWq
A7AUERK2E+fhRjlNvzw4GGuJXpRg8MeUNCf63jh3T23bdbV5BcklbW290k3TDyy42WANjXiOIH9a
8wuL61TqT3jO24IcMQT6eXj7z4JXtkk7/X7BC5i3/GrBG/7r8FrUsHf15x9OP4uKgv/jtWn/578N
7+s4iCKQFe+70ZFn/SElYk9kp4t+8Ssl9M8lkPMSixOxJsh7OTbZ4t9LoGMt/jr+c0y3bJ5Ml/7O
EvhGAwTpFP0s3lPcdfwWnMF+XAAdwx0julozYmxJ9sbsoqRwo8fvbsrNt/X0e2Mam8T3q+y3i6Bl
QQvK5/xJU9hWvVGjNsOgmjFSH71mxpbQe2tiEtrtry/F1vDTpRxuC/o+MKk/KQmrghKM5O/5QE4h
toV8ibWy8CqIqma4gsTpUAiNKGOWDnAI4lB+ffmfbic2WGSh9J+E4Et7u59YOQjkwbXApZfDg1V4
T+SZb359iWVL+m7LcvzlEjKwPFSMHCTcN3o0rY2pM0OhDlIMD9iQHpsAnFWHnHoF3oSn9N+P8198
cwj+fr4c00oktiiR0ICbPIjf75B2pBwXHEpzcAas2kSSiBpWhkGGsaT6zHvnnRMOirFARFbcStpV
WqwUvUDGeJlmz+OomKw8K6KqpxmfHXFtBDjcKoKwOHHkUbWiwEwJ2lYCf0NB81tzij5aaWF/sNJh
TwHakkqwOAV1a1qPE7bOJTymKzb0peyrWHUBTLbM3nTmND5OKZy5xI2GaGVzrMQVR2T1gwuq/QlW
S8UoRBOnEQHtki20CFcynO8dTShaBEa7g3m3oj4lUQwLNs1Lcnn7bp6PVNCXXWr0O7sovjheflcl
zkd39m9b5l/rwfGLU22O76PeGbhE6m4Nyb8JlmzeZPWs9pkimFGXYiObdPis40AdPUzn9eQamySo
kL5ZcJs4grpX48jZG/J8eGJPe/QAcp7SOCHVt/FqupU9ohgjeBiR4GwmkabECKnooXUJBu58zs1B
H+EJYsYAIrMHnJKH2xQXyWXZAEKJ0a6Dlx0uZEQs4nbQEEKXWjwKyNRJu3GX4H17UB7S4pjia235
CFZqnIYm9lsRCuhPWrvvnNIznuKs19fwRfh3fARhD5XI+otcJ92BKpKWgdbok9CBxxdhofRlBf8O
rg8wThqhPCKFohNdgZJIh1Iw4SJRtE9y89GpIJhNvRrXRpxY3UuXmIoDpklEJea26CGJ1bwtkyX7
nEyDTazcJQYoWYwthg7PkJb0bT2X+qbQzTkMJvuFMID2wens7KAI4bsUo+0eipJngQ5osuvactyX
hf0SQyaZaPN00S717PHgNElwazJ53UPk0pdzZFQ3XT5tLAZ5lxHpK4rpW27u9ICRtHIlB+vErWln
jBIaUOB0F9DdALTMsXuDoWwXhrASGMJ5gsiQiMyRLKbjLp/GPjoR8rjUmcMt4Lh3KVgWXE+psXcK
EF1Q4Yl3jHtEvx09XlyBYm/Z9L4Z7OSHqWido6wbdTFV5qLaiWR1XUzsGzzRCFpxEUbmrR2q6ZU0
UnOxFtLeilLjoo1ca2+PQQy6iXPiJi3Q0JAi4W2UqbgauYMV74th2OsK1tYurGNkqYZPeGnWlgB7
o2AfheFwMaZpSuO3G9YuiVZ7egdg2TK6r5Zj0iUKO1ohEhaP7ebDabZicV462LswdQPgGlVKowQY
kevFr4zunwKBEiFqW/MuYfx4sHobmFV4Nvw8us8qk+mKx522k/nUOhWBG2GmYe8Y7SYE/LJRPsY9
d04vjUbVtykT6A0isU946RqfiSrJ7H4Y9ceQacsWFOLtOHW7lonHITVIpakYpxKfyz8bAaV8hx7J
YxrRDMamVrradaR5vJLTCIYxrt1tM+5UHdkPUtYBmaoZIVSl1zc3nVHb9NxN/5gUg70HokZvZWkw
xHG3KHmder4K86xFIhXW07tK+PmZBWmGZh9QF1vyRVeMbwFNG6uBwegawxTzfDM+Qzzax2wAaDFM
RB7Rwj7KC1FeNYV/zHvrXVYQSWSFgjkx6Q2O9g1mkSguwszwL6Mw+xwyp2dk1Gy9znJeOxOaWNrZ
/XVNfzJYyZx3jyXBvU4m+ioI8vOjW1j6QPs921TDPDxXtAZXC/SWlYTEj2mdu7xAqyWq60tAX+ZJ
DMp8YJju3KJKdMlhCMRa5EXarCrCHxmox4TJIofjPXHHTxwYGCKpEhgXmNqM8I5HGUuGgwHhLnSn
8m4tHMinyN3lNveRl3ezRy6pTawi06K5p0fmGwei89y1Ut5HT9hM7fqA712FMj36qe895M0o9mjY
ChQuYFK9fkI0mgHQFW4QHwgjqy6qsZMHyej52k1EdoiNKIIrui0wk+/zKeb293i/BSsXbDgSorhJ
+YONu3QtTUF2kdFm1r2j3K2LKPQJErdDcqQbX7mgP58a0kGxpg/JKq21vupE3e6yIuXJY/Z9QBij
YeDwkLF5finBQIJC1EDzorA5sj8Oxz61WTMU8TTuRSsKDmAbK2+6b3XFP12N3xX5Dqf/76qin7Rh
11n+GlfFj32Nbz/053TD+cOhneZh+xNU06jE/tPXMJchhut6FPomQi3kXn+2OWxv+RtCH/4lKPtT
IGajHVvsinQ/rOXn/lZ8pJRLgfZdvShwciz6tEDwG2D5fWvG0n3ml6Mr1MlpDdp3Tr4jurmlkGn9
WxmXcXWUAaf3FWbiWW4zjd4S0rlMP+U0TlBQj4ZmP10XBTmwewM8pX7oJpVfsP4n6U1LDMr7Hsf0
i5zd8hSLKL9oh9QichwptDKTpMBWH/I4Z0G/afsUHGqtDLoccQ2eEmc88s1J7EEEgFebY6vewVHW
wQusOts/AA2AC9CqyX3uh7HzbyZLetQ3SXwGgd46W/vrbDOgv5y89svIEzwX089KV3QC6kVpdm4R
I7VgMvPCRN2JjRAOQTGAzhyuyMFC17djXZnrqwqJYLOKxwZAM0wsJJkH9l566duiUiYVbykxKyLC
t0I8Wv/L3pltR2qlW/dVzguQA9i0/yVBtAqF2pSUecNQKi02fc8Gnv5MZLv+dNpln7qvuihX2SlH
KAI2X7PWXCHM6yK6eCarThVEOZ8n6TpzMSj87oDIycFhvszZh8ZYf1Mq7wjLySSWHjAcFGMUyGVa
RRn4gBYBAND3UpQBq2INwgMxUzwppLcQaxYyIrfIxnbGuKw3LdNVySiaaq1a0u9LNM+dzWaCUCob
/QZlKcU2m5a9mU1RewG2rx11RTmEnj4KSDQiiZJ6N0g7WR6lBmIoZpLzkGnOkASi0+EcMJ6+M3Jl
7xy/nl/dOqVQzId8M2ezDBP2uDtWUtm5haK0rzqrOFZVP+yzciSWrSkrJ0AfNKwEYVbCknKvKKtQ
ODK+sU2/3Iwyn0KH8W1o9bYIUieuDt1CFmRbqOIZJhTxUGSee8GijfUNAc+fs6qI7+hDulslR/cu
r7PxC2OjiUg+auO2ltMd10O1m8cqeeKsj4hvr+bnTNYaxoFhWGMQzChURuJefJK9nySCscMkHe1G
A2Xeo2khWHJ0W3GOnCjf459OltBw22x+qhuPRKcodz43jlE+dDP5i0ERyXjaEIwppk1StO60qWZ6
hLI1HRRkfVdsERv1RzUt7V7lWfwk6kpc+ctK4jJqWz1avsEIzqtbdhmEiefvhoKQGjClYnsRV2WJ
nr2CKEEjSEoq2o1W2Y8plVmXDpYILDG5Z4No0piFzpJjVmuH8WaIY/OKfX51sCx/IH1y5rtm1tfe
ydwpn9puwgofufU3ZcpnfB4jCGTPO/FNF1tw2NYGii76yTmf7iKnk6fSQnweG2J5GcRCgrivJvMt
rVr9SltKmM1NI9yTIhR9Z6X1L2uu8QFvR7OVU4ZGO3JTUKPe8EKWY/48Z0vyLFSf2Bu78bLnRiv9
UCH8ODha3+51FyCc76p+B234CiKbsym8JN+n6LVuSr+EBz911EYlokvgDQSBIgwCc7DYSyoD2EXJ
bYlRgeq0noBiUrlyFWPTkqhV8yAB6RpaGoSCSg1odCI2h3wufeBSjGxigNhsFNWp0v0yFLNtPlko
3296rf2cLO1DWmvu98mu0CjRW7EWsxU7bOa7S/rInNO6KlhCnvUexaCTduQ5J/HRtzr3GoZvw60x
dA8LWIvQbvXqzRlYtNRqqW5F5C/fmlV4GhCgMdE0qvoqTmPrM3gGe+M0OUIiMmNnCjg/vsYjNHxZ
GV5llTMvzQp9s2SGgUZ+gmwINuG1w2P1S64Q5HdjczaHSG1tR02hHAfxYkoA1UJzTUAWSs3nDzeu
lTmUmX1vatxxlmTO2Ezarq0MDSQi+Xl3WdohX6x7w9/mw2Rcxi5Z0aBRgstCoiSaDibLsftKWcj5
s1iJh7HHpoMvBqvSkAxYTz7M6fRk872lRd65GoHTDCtNxHdWUBDkdM65QWdaHRtlBIvSk1S+iqw6
d6X+4ZrpLi6IYdK0B4R1hrAplrqEzqnw0AjV5DGdNVQvF8Q0GZeoDdhbn94annn3hnLWuTSQbv6l
hJ2n1FOEGZNWTqTAWevNZOMzw32ziBB/rzTrO/pmk8B3Bg6buWENlvugl9tU4ybXsms1Se/aF1l2
ljpKqSBd3qTOOAsCbhVY0/S50tsHFmI6GJJWEp+3moOwmOwSRkV7suj9u8Zoq63mmFJsrE51gNPk
Jc/GGAh9EsG3bY1n8patfcq+d8f9/pYupXffmIyTJeyCR6JIOEFkW59UmlHNtpGdX9sV7TFc8fG6
gq5xQBE9E3JckO9pob2848otwlL31W1C8vL3Zuo0WgQ8QpQ9lvcUO5F14h3S16q6BJlb28TTZXZx
W0SavcvNuToa7Jc3OoGrgLb15KyR6Ro4ZVnt+2EaQov44C8mKXdh7lWkubnZ174zvqVNnZFcZi7n
URUxS1EibW4tj0lRCRI6nAppbthSdO8GC/7tYMzDQ6o79pYJClah2Mt2lgdZAAFF9JBAObo4utvv
lS8IC+iS9oYeVhhk3/otPaZZeButldpRDVdIUSWgAPWt1QnZQMs7wKDysu+Fh2hsXkjO5dj7Kr38
l5bAxSMqQXeju9kKR+V/EdDmw/i2nQPzQ8IR0hzHWWKYO7NPjPOCl+PNT2HK9rnU9r1NEKbVRfld
2ufiZBJgvWOl0xwHCpLtwBjsIEAsoaqm8tIUkY+ZKcerBIMU99GEnL43NC3U56XfsMIZt4Kwjrce
1++G9w7Uhv5imKVzUKMAnW9fLxYenZK8jYAVurmrDPut0eu7AVV4UKKO2ICJ3XNEawE4HsI40I5L
yZAjQd4fOLnubDO9urh1e+fik0WGhnytGAJwPSrUZXlPYkx2Iuk73rEU84LGx/flJKWJ6FeegGvG
u8jKr0Whafd+N6l97gz+gYDdOCRq+I6Uldu5TeSuL3T0e5UGHCWf7/xxMELkM/m+Q44Q9rijQiuu
vMCWA30ZESAcwq64AfYCX9rX3Ed8RfD0AaBssGL+QmagtmXLXgRJgT7YTGqbB1kmeR6I4U6Zhv+W
FHODqY3Lr+q0g8NO787RRo+HMTnMo72K8Px6OE5F6zOZjTW8rot3Kvr5Lk/sNYjl80eD8N9e6p97
KcE8+l8T5j/3UqSO/mFPAmyDH/itj/L0T4iyfB1Xt4sK8mPr8dt+2LM+eWyCaWIgZf62Ov59V2J8
8mm9IBGSj8ZfVuvo772U92mVeGEqw0DPj9P8/CfrYvuPrRS8AKAWDN+ZIjCE/+jlfpyFR0qLySqy
7eM4rWEMZrpkJI2Ds0FhNm6oHbpnEjiInKdo25GgHgFn6TEoc3R+tkswvxYlwrMuIKXHE0lTP3yS
fzGr/5N9lzA3nV+fN2jipF09Rz++O3/wWpyFvnVMRwt6urRQZ3FTn0t7YnjesCbco3wHMV9XmfWr
NPJt+n/xL9VfvDaqvJ8+G4++F34DvSyxdti9f1oksYvMa3qIBt179FI0MHORfSb+dea3lYMtwHbP
rBlKh4/Jca+AmCefDejaX6elXL67Q9cAtF1mcYpz1usZlLo9VK0h27ZN5dy50kP6RHS3fYxU0Z+N
WtQ7S6+tYGmHiC11wZTJGrviRpqzjrDGGLnlvQZFvkIBEA4DdPbAG6TG1AgoIPwEx/zCOI1RXkcJ
uXRedeV2FkLeKh/uwSGV5C1YJZi9XvAoihvfl4jsZboB4as/awzhttBkHwdq/BxedYOVkYiZ8tJa
U7zVpKbGoK3EeJi1ItpkCKyoF3rKmMVVYxMwXpSbmuYbF8M0v5SkJSNTYpFzhhAZYSKZ+2dPQZIK
yLOgYWSGCBiZL8A5eIQi7RQlPdYsKhjNYhccsHZs7v1BS+/0LkmMMGXV/CWvdAf/sKu3oScnf6sG
FGO7URARFZB269zjqY6nNXeD3mOxZP9oDJXcwlxWwxEEVB6HpVn291NCVbYxhOooaBxD3xUIxr2g
jPpMwE1zakPDub8I4ndaXTGVTEwV4KEYgrRdLL7WVLMONgw0QqMth0Bu235x09lDwe2Ut1nZTgjw
G6xGAyoKJMJovsmxnYwde4cWWpeyb2do1vvF9OLvjTTHHQ5QBJRE13Cn+kd0HcX9QhyGQPY7pKcl
9dLQs3v3VWLaOCyFvmz9vO7B3WAH2vVmHy9Q9JAcbdjqT/1mxM+8x/ZmXEWaRziyZ0RPGLuGg6ek
ohqC1/yLpfTxxqgY7gdJ6Ra/wJnKKqBlGKBZ7ZTknBhxkwTzuNDUOm7rpOsD9UHGWiouxLIMlFVp
xFr/wWiLZCJBzi0rOlMm8zFFfMTeyUMp+L1MKdURHrbpGhSmviOwB0Q9ZviLZICteNSvu8ZvGXYk
BMQd/BJm+03XkUG3DMtKTRHp+OJMBPyeaWWq10UTxFJH/kBj5BqN1r+V0UeYgt83TMp7wn22/dCW
2vYjd3CcjXLedJRaRF+N2pI8zIJk0gMLmZXYEJUUtVXZFjEObvKlvlq+QpTHTgFsMpBMGPaxyuD1
Y0i8YWlVnlsJ4485kKheuwpbuUG0Jpf6tMb/Qcm6Z6i2HoaS358esbxJSem7mAOcA+SEPq/Wrr/b
LCP7AasaHP7G7iKmNKPVPfeJA7sbFSTvforZYX8g0XEcg2CHhPxFobTF/GSP9RhKxY28JQti0ug3
puGbnraDfo3Z2NYvfqRw9ddmXb22HfFyYa0REPdxlAP+5nOyUkIpSKXhHM20frxMibkwagCQWW0y
JRZABVOEaRqzmWUZ86s9DEBWT7QoOn/JYnBCXEezEZPxVxmLGl/KeMqTLtDYvLxiesTZMLdwMKp2
cS5NZ/COWZFW2k4NfUIuIDM4LNZmfjOXEo6tUyVmt7qGprshic0bC5JgGySRl9+0dt4UmzJGfRd6
M3RwxsasGtgXyOIMjZHOXfEOuHbRox5Lg+SSi9WgowwWYUdDCAjX/Uo0u5oZLrQ4EPN4YW9ZeQ4s
70HivwLQ7qovtIkVTMWZibjnpFUQge8l0prAj0x11bfO6D8LEPDH0fdTe2/0vrobnFzkoUbbP+49
0uLY5UD7HwOzQlxo2Wm0MxjPXUsxRrgoNXTYEhrRo5kNE9hLOdhvWALovEZhyF2lsi0jQNSBOYlw
ZytHcoSgW55BU6Ia7hsvP04NikC2k61xJbS8P/roZZB1dpH2mPGcgQsh/DU1i94qMJrCNTeO3bEo
GipoEjSnKxm/VAKPnzE6acvCeaHVim0LAw4HfleI7vm/heP/SWlDZiuD678pHHHcVn/EWP/6I/+S
FjqfoFXhMAa4DGvGpP74l7TQ+kS4MqQb3AdchT9irJ1PeGGBWFMk4gRgnvav0hGMtc9tCa+QagYQ
lu7/J6Uj5eYf6yPdRgzNNN/8wJt4VLh/rM6yboAQPPjJbUpYQupvhLHatds4c278qLasOwv0Vbdn
TU6ueBT5lMdMahNnk0VwSqZL8yFHc7MGGTJWtV7c08KumjXbG7VMJxoDwUE9ltmB+1VXt33e6N8L
vVY8kukqE2/TGtKj9R+MilyOSpqZN+4r34q3BYkLpzXC4F0QN8HOt2u8b5q5EloR6Z7czGpAlcbY
AnqUDzaFyT5eMNYKP9dxgCU8x0rhDAOT8ZbWdMnrFnyBsLTPrq5989A3hsWqsyip1S+OHMkxX5b0
PBHmcXTpzr6q9XilnPOdoC0ded/i7iOktJrmW9QXkU/UgSraraj5janilp6THGk3jA6J3pLlAn6x
NZNeOd8SNfafO1Zv6cU2Jw1WYO3eJIwCVDAnk0zYV66Bua6U+Nf9yce4p/fJjFGh78uQb2J+iWb6
SI1h34BZOYofoGVFftBVIB42M2//mDiRvFrUNL1gqma241iTfowJQ9mSZ8gakzyBwti5PTPvwE1E
/QwihQdj3KSMotyxOGldqVeBZoP82BTR4t14OOmHQOSr6TRdEg4fd5KopFKOI5i3RO58oXhsEBK0
XFkbk6JgCiFPTCG+LcFjjVlaoaXy3W1zayvjJDt0iTXsVCzAFzfJEFLZuXfNQnUaAPKNQxPe9B0x
Le1prix2uUVj3MFXJudmLJxTZLkEhrat7XxXWNHCiX7rwnppwa49V2RHB/FMmbRrSq0+W7Geztd6
OehufWKvqryavr3sPG/LB2GRfE/TVN+Sj8OuaSkTw4KdixGhZMGR8Ngais4648ojESigDvA8xJlY
d6ywwHoo7oYu5rtajNF9KOqS3DFXm/z6KW9HF4VO1a0yXaaJAUlbSHHEhLwM9Ar2ZAYZUeuf0WTI
70WDBRfAqpu5jH9m7GYjfoAOFcPE7FDzkvNY9vLKiUr1SuSfw0S0UwNzcRKtjkRjS6K4SDdu8RI4
ujzMKSuGA1lfuRH0BlPMDVnsJCHobeHuyjhJoJ3MTGdlM0qe+PgBuLMjz43YWc9JH6KPRS5RR/U4
nhfsQU1oahY6C8m3GdZjsXYvpdYuQcqwO74FSZmQKsj0w70GscPeqrP1PWnxA1G2IsZ1gyNz3KQu
jMVcc5OLVlX5iBI1yhmPG7rThkXuqRcT486+hz2A4kTv7nGnpssdbcObtvgl95TmVGiO7XS2L30l
OmrlhuCuXTzM1csEMsEKvHmQjwtjvQr2e92We/4maFNfKwENcBLNLMF9OOam7YATokQFcZDr0iSg
BEfCUVR1+64067M9ON5ZJHa3PIyZCXlcZSt8vo3mKfRqjed11+nXS5Sad0T5cD9Glp8SHhJzmtnE
sEAlbtL9MgnvlBKghOtZadN0nlZipiu6EnBS3aL+J6JxmxtxxAyX76raEZmahuZiiTsNlwRyrkGS
/ein5lXllP4WOi3oay2pV5z6CsjBvZKEOsh2vufMitNvbeOmr6nea59Fm49f6OzHlqbRsrjX0JKH
WrqIbWGw1ji2cWxtcJql3dZhAN1e8QesgXE/1WXAPKOe48DxICadrE6zTWCLxODVepDOOV3TxOh4
Y3YOEhrbaWMRwGcfD1rTimob4UtC5lCR9UdAZ1kPXuBhJ3oE8SSekAg/W1zCqB8/wPI+oWQHx1Pu
nWPTGsZ9NIe9KRGgARvQt8TUkHuskUazQdsx3ZdRZ13IOxvGgNVWYVyrtqqul35x0r3XVOKl6aeX
GNsoEc5OAsrJSNjWbcZR7zvMMykwHaTj8BFmo7sv0iplIcPzK74zJhBvMAutfF7mQyHc3sV7xVoA
YC7AZuVdLC8zdv+tp/5P9ZTrrOEP/76eupfV91/+59jlr+X3Pwzkfv3B34XLxidjlS1AZsMe8atC
+beqyjU+YfaydCqun9g3uDdMnB4eWTu/C55/G8dRUxkYLz8me5Ra/8EoDtP1H+spZLCIpnVL8B54
X0Ay/1hPNW08tIUP4UKjuuGekRX7Rob029jzi21i2i+qGMdrvJjIbob6JY/tdRNOcwnqnq37Itdo
JatgPF2Ut/mgP+HkIDm3zhvgUlyO4YLW4dgawGutWXN36TypNaftUucj0VmTAYJLta8A8q8R61+D
v99HPVPBvrXBtigGOoAPiNFuk/dBH5JLwee4adwadltJIo+ueRDsbUYluBWuKl+/dbCqE9KtXtf7
ECF/u50tLBhtn7x3eZqFBSf9FtryxRXTHpJYvYHV8e5n5bUyxvtoIsnMSoadBSdsmJdbK52v9Jg/
xQYroPJ5neu+CqtmebMZ8uej8Yae6KWZux3biJynixTPhI4fktZzAqXj+qq61eKqEfrbi5dszF9d
0G07PVb3eptdr59AXxBHi4DpPa1JN+niPt2JfGbdX6B8HGKX4bsaH2Oh7lcNygY1c3xsc/+Np72/
N6R1iGNiBtHVHZc1DUFTHR+MrtMMJidTDuZmyqZHh+2hqq0XKbITXfNr26Sv1WJfXCkoexyr21r8
QiQ+vFf9fGvxANzNot81fk0XaWWnxWJEONH+BqXJUtis+KBM2UYB1Ms+YKYqt6SW95tBW7G6dYL8
cE2Fg1f/ylpKBaxnyOtbU8/W16ot/gD4vFvV6be9iZNPLleGR5isNupXtQsnhWnNu8j5Y7aRXGfk
Upt8OQcsueQwJvyGlTU/YbhlBdQ7OfJfoYVZxwuNCYMr6VvLuQUThqbgqbWaiC329FjodjjNpdqU
cArCqEpeSS9jLWtO+CaXqxHa2SaVbYJRxX0h3fGb14gbH1ksue3GboaaRGBGe8Cb9Lg09iFJ6p4L
VRzigu9I0718k/UoCpmTXjnVLLcKpyOeUUOcfJcrYVp6tB1mIYK605/K2Hjz2eYHxQS/pY/zE0vT
x6YdHq0pfy+oBje6A89lKKZHERkSUW1fs0oEkbw4Gs20kbB6XT93o3SQZFgvVVOmpMTal9q2XNZH
/NzKY5ATiBclnJfEbWfWOlyOmjFdajbWX3H0+hs01DNRhdF4B5q8CvOJdIG5YX8+Mx48UPONp6ay
x2OHmfc4jRpaQznn22apC4gb9bzTgdmc6H+6janl4q03uq/z2Dpnw8vqVUNdJY0VtkhJ0tAvSIgn
PFO9Rm6FBhMhDkPY1GrKJ0D2T8WEhCZcrM5PgoLBLOjyC4CTr0gYxk025VsEJzNEmgSszdxuWUFL
MIiOwzwjmdr45FV9yuCwueSavC0rq9pSJz1VGsvdbrDZiw7261TO7VtJWAh3ZSq3udPgkZ3ToF58
Z1ewHaOsr6Jbo7cRh5Zc/ktqvlVYH4KuKSjdR9rEyTR2wqWi4l2Q7IGXHWeZgV2KfceNpbvDfjK5
6ObMfXE1B+xJo47R2L5rqr2ynOz0w0PnL/YGP3XFnOI+RgY6bG59pG4frOYf/HcJ/qsBwxOaFZrY
QAxNv5bkl8RuKP4M5x+2FD/vb9ZXA6OM/hy4qeH9bJ3wLTWUDomtLN7HKkSyezJB0wYOG+h/eKWf
dzG80roPQbfCMovhwk/dvnLdSaRRXQEnzV4ZL2Lm5ThODTVvyJDs2KmrWf+11vm3O5g/WV/W1/Sg
HrGc8te//vGJGIvSlx4O3MPc23Jrd+NjNXFja8I6KM3OV4nyKc8Jdug43f7+axR/2v6sr+07JMDi
SSKA6qftT436Y2GkXx46/BVhijrjdmbHsR4XV9SAGSHb05vqJmb3ahxP6dhx3/olpDY5v0m6t7hc
roZ4RZoL++D7hbbBnr41PXWlHI5vxJL1hsEhBNz0unTaXWGP91MRP+m2hHY0WZeB2cAGtpi/B3VX
f4lZ4W9I5JnDv/9N/+ISgnOkm7bBpsM2fx7jmHlCoLlplQdpkqFS6be6v9wWCzKef3idv/pELQOH
jwszmUvpp0+UxCYGJ956rfo50Q6gRGf2+Vs95xAu6VjCzsuu+9go7vJxvnV7vSALhWeotcTvzci5
vJYqaUYBYZjTFemaESlQwyMBIRfRjnuwc31g14StxjHpIc1kUtXb5rwvYpMg4WROrgboZfdlNj1N
LY/9wUysU594xVaxNYA/nLxHiU06QpZ/8PaqPSk971G1PHnxsFv6jod3LQ5ytg9Slgnkv2Xtfqer
zCWs1xyWW3deY19M/t0o3b+2NkgX16DG+vsP8i9OGCS2qyNrDXf4Ezof8i+oQE2Uh0UZH+XExMmG
5JF8JSUOf/9aVNg/Sm3X00zY+hpZsdrqbHP95z+cZq05E3VgzeXBzkZYgcmpqP7pwPy4k36Q866v
ATrSBF7PfxPJ8dNrYH/JSC/Vy0Plj/WuSyZzg9P2bT3piXif9z3rkswk000zLyry5dYt8xM6x+cu
Tb95qGUZ/I8tOUipOOCa5yHrczrVcwEMKH5fHCW2LhFCh1w4jB9soViXLN05T5zt6NWfvZ6/7XRe
fLTmBPW/Td0CqR17kt/UO7M1ZQCsydxjFe4D3UzeibvJWD5n1+OU4RljWMG6gALVIMzGxktWlgzl
aB7vq9KUW0ss/5R48Rd3LN8FASk4Mgnks80/fiklAI6pmovyYOQ0CqOEw5pAGAlMLeN3Zi+EVQnr
cj57l4JlJmbkVmfcVNwwHHnyGEuh2CoZpUWLouM1qnCQ+otKaxF6OrbsbHQu0eA6G8I3L9I3U5R+
nETEc1UhW84n3VRvS6cHiZs8TILqEJIiVjBtAv2oP80UYkEdyXovcuhYtbqPbWddnHJ9WjUHHwnT
OMo0PN1FlPt7016e/Lodr//+wv2Lm4RnxvofA2+++bN0QMUNZmw1lgfllSElzhS4irdj6UMQ1fE/
fCNYIf98n6y+VY412C7en+7JxhKzMK2hPLRmV+LC6KrQi9JTxJPKN/h+SE5mjDzTIMEa6YM0pQKM
82snowAcSN5gBYkJkNVRw8R1QRe0qjlBs3/rMlxio3eT+2DcpE+1P5WVCEXdvZHlfj/l81Xhrg9j
LrNYZK+RWqtUIHnpol83AyaoqTI3lKvbkW3frucr/WgvmZuKEOk2wEUAWQx3+IkasHEdDX2QL708
Th5I5rUJikiLDVWfVadyUI9JTyPpZfGA6YZWz17UYwvZnbA4ssnFyG7LuCWT6yQE1ZrBPC8psxnt
8RBqBX8nGtcLsh7gvFhtt11vo26y8YurR4dBTpDbmcb9VGubvKFa0qP0ekL7GKLw6ratZr80qc0t
1kfN2bent7bHcT+sIOI8uU4gcoAGpxQnDfMlleO9EhbyjMqGsMqMemSTDv6AFQU3cN/nJ5pijPY8
WZJ45MLk7nBUf8327asEjHLKDBuF6BgKs52JllJ4bIllURinrqAxXfLeejHb5J+ex85f3N7UOhhi
wUJwRf3MvyV3Lm3ASBSHzp3fANfcs7y+UF/w4dnc1mv99dFqV71v7HqfSu/jni9lv5tVpwJ4T29l
UwgYbyX8zcwPvbEVbpj3MYRr0yu38KHnQ250Gg1aViDeYGWOYyl+Iz7Uv65bHHRLzHMRrZl/Rp9L
le+Ki6lxxqT9/DQKyi29FfUGnfKwmWJ4QGTeX4aYxpDnoRQVX0hMme2mw2M/coICbQItSUvqD/n1
OAz3lj2QIJ0705aVrAgbtVwVUj0iKPDCwtAW5uDzG8EzpI7X/b1Ld3DIEucy8hChyRweBaSmtZrv
3d+fr/+Vuv2D1A1bvkFV/+8nbA/V0Mv/2byiGErKP5iHfvvR32ds3iebfxVzN0fHMM5c7PfFpSc+
sTOkoPj/HqHfJG/C/mTCL8PFiXffwvJCdfjbjE0wfuNZZ3NLYCMizeo/40t/5P38WG8grdMJg6Ck
530Yv87hfqhphsREoZMmFYZ6F/mFj9OaKUSZ+HsJUGjnlBzkyA1S7w5SNAGPJulAF+VwCI4AyLyw
FYPBhZqIZ0wF823lmOXD2DnRV5Ak0229CBStrlrsA+BY5B4Y0O2rZG3P3IxMg42aWFKFOJcwEEqM
TuJMnS8vmVHRL+aWLQAgNXmzbcjQBrI5z1R5GaPzKVzwGr13BeL4wPVna5eR3XMjkUzcZjKyNlrF
PGCrN0THsHVAwINNq4ScIqQp0fd1JLRXs3NtYiquOc5YXgyE8JzU4okjp6Zebqe8Gb/oDLL9sCmi
/hdeBUBqa5Vo0aKB4EMUPU0i+Rfn8/YjQRaZj9Pi5OkriCOaYg6jU+1tBamr7wlf+MEmyZNtjw2B
1ViS6Pvi2JzAmaG6Z1DSuIlgkXTPRDd2z6XSs3vAV9NtNCXyRg1R+VgjY7vpu3acrwBRxTbabKYs
AQQpwsvzIjciNkVNRXkja+9uynhfDQ8PzikjioqArVwEODmd3LslWeqvRux5t1FOJRNwlutGGPkw
W9k7qmrnekXH48w9TnVR32RG49/aUDKwZRGfcuj4/HYjIp5z7iSIjKVUZzmgWJ7kWBQomcvqwTAa
706jj6BLIWnKnz0bNgPPJJ4xxmOERvFI+JE4aTnpCkj/qpusbUbtYbGKeeu4qcHaRKlNk2eDxbPZ
tLsDwJme39kQO4DQzTdYKc2XFjHHc63PrNd8Rl/Oqt8guUkrIG/1sncCj8jSu4klYTDzVH7gGRXf
TWJBxudPGIM2Ng5kBnhdR83MmibsEfe9ekuG5aEz/HNdCzfeDbPOTm1Ky+QQuU2/HIcBptU+iQbt
bEbaqDYKldpWkMpQyqCDudfD7s4InopVPdwjY7PxFeDGvq09zRAgZB3nc2nM1rVEr6/An+cWun0v
RZyNO8RoF7GP8Uf7UUAWnarnQOODINHNTirvS4N2COUiGc/ENTki4vtZBYmWz4BFbT3X83YxKSco
3CImWf2pd+pBP+bIJZNns+78/oQ/0cagxuXzAnxde8DMwogsi67dokDAPvbds2yKS+SL+JxTUfhv
KRt+oL8m6R+WdooL3S1DF1TQZ1ug1kuWFSjOFmkbtXO20x3+by/0/NgssXpK8GKEmi+ra8SYzbbj
GZYOBmYz8G1r4K1peAgKpXpynCh2Dtze2mMJuxCpe4uPbrBFUSP3NOoQIDhk42zC7tebXfzdLnkP
h5nEiAH7vDmEM1FWV2QRp8dqYKY6+yWJJN65x7qDbtbosIRU04kcmmHrQtZhtMzyGV3Znmmc9t1e
OGkI9d4AR91PnpHu58Q0Aibr7gVv2EO/dNAXYrWqCe0no20RUQ0IIyCQVzfK0+/JOjdZCdAKo/aE
CGQ1ZNblGF+82kFcX3abLrXLK72su1/S2b3oixl9wQ2sDpNq8ofSobhNScDBjAduzsq78dYYIrFr
CDuGgiBBjDvLJWk8bMuW3m8kWOcdgF8DGyc/ZTAP2EBmqOow85YvVYSTac7dm6Vur3uVRWjgJNNK
UbV7MlvbXepo+jU2E3XjdFjyWB9/QyzV7Fnie9skmqNdhVwTr4sNNdkAe7JUFDP5OAKyLhLjas7n
MRhIhF31amFMdMgmc+cyhIBZUZhU7TPwBHXQi7j/zLyn58JQ2j5up/ehdfL9LNN527fKeBwNM/oq
Mhui1BRJ64jwr0gDjS7jODh0CwdRWPZVSSDgzvdxJoJ3qpI9qdnWyYuYN0ya5t4NtfT3ycKjKS26
BPeGhfdhdBb3MncNEL0RBWK69Zqkx93QRE9+Y3PL2gXhKNUgAW14zbeyyip6E7BYL7WbFyjWaKaj
xPR2Rdf7+2oZ6y81bKpnfCnath8JiK1UuVwwdlZXc6NaNp+Fdyf4B9edM2k3tNJPbtxg6DJ8OJNx
hwCwxcI/BfhqMuNkT2l89rPC85mR2c0m75PB3WQmVWPQsIANLYW02QaGQDK3IS4EAKOWKOSEVgG5
xN5Fd7D/X/bObLttZMu2v3J/ADkQQAABvBLsJKrvbOkFQ2nZ6PtA+/U1QWdWpX2yfCrv83nLRhJI
EIyIvfdac6laZZf4dvJtW+PFabDxvuja7PBbkpGyTXrMZ6YNZDtMq3ua/eaNTY741oMtgRKbx0CO
e3OyuoD0FzJtLTrHQycN5vUq/WozRfvaFwSMuzE41QAT2OiwD7rzZbnSh4J0biAoMnx+rmD7PcT4
Aj8AGka72m+8qya03gy//5YkZfQZfT8wgRluVyed51I6xjXfqSwgI2DA08c6t8xN+By18kCD9S10
+y+e1TiHpZJ6s4R4iFGWfJ6H2SeUubK2ShGMAO4czaB5kWFN3LXCqr8S0jtsstSotmSepsfBYiQX
WMssGVCE4i7v3HaHACS7L4V7U0boWGnx9btCW9iHLNRGOhjjdqx3nSiWm2jW4a4uuo8+jZ8YQ3CU
4nxBN0YwvBjyoxJgYJguYhbz18U1c5r1MNN4gaaqIwzYsHcxsZzvVpY9GZbL/AyIwltsKULME099
bUX70A/iGyAVCMkJ4BFDvZZgG/Es6eQwZaa69OdwAdXS4/+14ZFE1AKL319CBQ1ZO+t6N8BeIadq
sI/pNBcX9lCDrsTfk7riORnn7CrnmcdF5K6pNB2thlSjUTeJUx7y+rLS06Nc4o78dNIR82GFyaTL
h+b8GWi7rx5p2w9BgkcI5Elhz/RTymHnMAbazGVX7Kce+ElreF/CyPoMQjp8NRvHvkURRoC652CN
0zxXzpfCKgTysJ5BG+jrU10yk+sb66sqxoBzwQddzybGWp3XgSi78ejVIUx3Wctd0iC1GTw3PnBi
UQ+CRAPyiMZ0j1hjuiUFPryDOX7Z8qFXeXtIMDzGcycDR9U8okzw0BFNZF+IVNzYdfo8ZbXLVDXu
DzUxYaD2rLJ66OO+ClJKQQX73sG7vJFs6VdG07nbzl1edJrAOCd9WpS36G6jQI4+VV71DbXRkQEa
pm7DvCXY/XbJCbWINbIe0q7TunhjLlpiRJiexq6/q4XGgVpec1pLAv4wnTYdTsE8g8YN4cCQxcDX
3PEgz28ddDSMqpR0rjASeFdu0QDGRFhlzYirYfUXy53Vltn3Ns5/Cr9/V/g5lFy/KvxeElLnyuTH
ku/7L/1Z8lG+SSLuKPbo51p4if5a80G7ptyi7nI8eNhUdn8Wff5v0llLRRPwl2sBdvifos/9jb9G
RqBylWdZ+Mz/ibgCO9PPDTouD3+TP8mrWFmbP/ZMvcEFzDNH4uh5IGyZTFfIR4lHAkU/N1cJPeKp
DN/m0nNw73pR/Gz2Nc86Kv9TEkf9jV25CVKGwd4T2SXCXcuQ444Qhpr8iXINhVkT+5CQXDShfgoH
knmCuW/ewT9nbbIlYiJ6xpRfvlh4de7qYsQkPFCJfThhCaslxtwg58l5B5FPXhv7kvNu11j3N2s2
94t2K+NrNqnpmYNMMX31sXWp9DJBY3QTV2rX0hvE+JKeyAWrvYM7UDnR+kK8sImMnkmSRt6yteLK
eDKkQ3+WFW/Y1R46N8VRDNn3OhRWlj3diHZiSyXD5y0nfMg6dXrwuC3Ix49MMiJQF6IPYFDAWDbZ
sclBGeEqgIAmNKTLfpfFUp4iDBJ8kxdJ41hmn9uUlqgjQrk1qEiDPLTHl3O2YVE5gq57t3aCqLlI
J1hMhe2A0xAiNONVd3my7RkUPcdmF2O4xLoK4mpo1EvdcWIPFMcNJvAtxd9mSkPY4qG/Toxg9Wjr
tqF6b/YGTYWntiGkra8lbhyQTbjWImI5MeWJJ+A/613OBPcirnzx5GfonTezxRHte3xoXjv8eW3n
5mqAIoa548TbB0p3RCjasIuLnedwmtt4sU96qtE2UKfOOZqizTGMn//xe5BhWLutu6Ery89BYuV3
HJux9FW9Rqpb5BAVgaOL8CVFN0Y0+Koo1IPk7JfHEbq0aHL8F6/KcHbQAPVfRG8AG2+9tTbyWyme
LOHwNoo1znwEX8WBXvtIFGGfvNfU9t1BajbbTTt1y8kvgTFszmnIoOzWbDq58IbOJnWraSWpC2tq
4CVaRF7AiJOekMWINivi15A0yXGNiozCAS82eS02/qSJSdHWU/RDbkLis8J9p9EfXeh6jZOOqlR/
UOshW+RMykGfMwLi2Aog0iFPU6SVmGtptpLTteaUwzDlz0/u+ua9hbnFZrEyvhntuDr/ljXOUboF
VfQU87Es2HBfXQJIEN/VvImQKu/OSwb36nxFV/UkJw4GoaNjLng2G7DLdCjHKHwZ24ygPls6RCHJ
0SJ6r22FfDeBkHiBBIp2ck1C7xuUwgO+qKk9RknqyHviq8hotFcBcGIn9KY5uBFo3FgIUTaRnfO2
5oKtK4a08Ulq0BUv51fp5UsfHQn2S0oE82DOGFm6FXsaIJ4bv83x7+VZZ5eMSVYHT8ZEYHmkkCHB
lgxKPlLG8+s9SQmPutGzv3IHOs7hbcW/+3PCgMDzI9IQCaFNDmQcrVpWyNOH72GTioyToyxMMe+T
ps6/LYvDE0lRtD5TwsI1gqjMKw5VTwrnSYlign9eZ1MwqUyPW+1bC2wTF73UyHhgSOf6FelFb0PJ
7ylpyZnG20V8JbmfXh9UtYMzz7GMBlG6heqmLyhyg5kDwmp+D08p6SkvfJjo6Vc26APiF71siBOs
X7XsuxCkvTXBYPBtYLpesecAim9/iBxMQrr7khJ8RSAhm85L7ufTo+caBHZYHIg3VovKE+JbZVy5
pjR4d0VW2Vi4kXEHGouXvXX8EhgEt2yArQmf9DgKX31pwPjayHgqz97BgaQItToaN1GUygt6MNzf
GSHMS6sUK0jf4BRQVjHejsIhbGmILLySmhEjihP4kEUr6wt7WrEyuRfHAdqAiBN4XT7kA/Jc6jNM
PhuVxRbBWYvaI0mZv0pV2JchIrljOnjiI3fUeQI9qT2kn/SqIcvsqw0F4AkRzXxRF8S3oN4Ogyox
nlHGtS+xJTsgcZmmIvW95ABzApEY8ZxXYipH/ttU7k2PnlMZmcvXNXmBbwA4nxOkT8WJM1Wz3DDc
tl+hk3TAj2gAoW5S4qJfkMkVdKa2zjiCKYA1Y7mkeC8kWUbNTeu2xVcGGzFVh8chm0KgoWTSk3eT
j8aDKAj63dEFtmkZekMnrvKM1fwe8TINStM/6IFou2Wwh23XZPU12pYKd1of3pVDy2oyk7IFcL5/
ECVZSNGIkEj73QL2vk/sqzpDFvwc1nb1gpm0fcxHeRc7Q/NATEy0GaNOPIQQrx5LpeMN9A/t3TbU
NUcG3PXOjBiBRtY4nWToPS1wBj/1cKEPFZyU9kAua7UC8UjDOw4txlM6xsephvrZ19Zd13Fodos6
hudmxubVWC2ghULgofddTDTcZCFKztNWMGGy22kTY1yrd5hgS3Mbh/H4FtZTkUOF6x2O9kXfF0do
VHDiDCFzgl2bKvAmUz9Z5D68JpZvktia2OZtn6K9LkyjvhhcDNgBAbNvE9v7CbZRf0Nh9za2XnNd
d8tM7NM41S4QqFBfcfhOt8CfrceZMexpnlJxnwlXf8M62r7NBKY275M28+EeL0MYnXS7kIabZ2UA
M/CzNS/hfRyLcEvKFWhdT0xXgxZ2kJMZMCgXeEtnG7ewMt1dZyHw3MyYS5nFTlfN2owIndm6TxM9
vGKVCLcRuu47v/ad26kfoXBkJYTyDcOA+kYRLXRtho1VbuPeNO6xpzpbJftxx+1Sm0G602XdFeVb
0muKnqp+DvvavMzM9kWzJe5iomDhC5mvwoou0jHtrozZkZ9HLCT0xrOZsNuwE7vQwHLTRTK6tb2q
v+5Ve/R6ZuiZspASmDSjNqqqJwwdsZa8Qw+IaCyx/SGX6zWbn3HjklMFDyW+IucRgVQuPoWpVJso
d6kQrUoGJeNTND15vhX1wHNgUd3Fk0sDxPbDZW2aITtx2cL3PgPBCQ1Jbd97kXTvPL/VjxUpgmz0
VI68n1gH2TLtDaXho7SZs6n76Nk1G3EqaRMBlJlqMvVmBz9xUTwmKYQauuFpvrewoyCKy1HvQ3bF
NKrpxW/mLo7vkD3a+8w25yezbYfT3NmrI5xfHCgIr1mBBtjlAGm2uvDvbW0Oh7rsSQ7WlqxPdEia
h9gpSFykMB53fVUyI4jHSlz22Ezvk8Q1t23oXtBCBJiTRfOz2eXMvBH7v8R9/JmhXxiAgQPnFcEO
fR7oomxUN2l23M6+dOtiOk5mBLMDOdje7V0+B+zEIw4h0jgXHEg9+qk5i8EYuIXOgnqCcotymN0x
Z2aOM7nIqXmBw9Q+b3yAqfRIX0jtOxId0x3bIWV3Cn4WvgkgshD3EA7Lhzh0S0IH01hulznCyirp
uW/MeO5PUyur/WhZE41K1lOayLB0AsV680F4qfuNMnZEg+s6yzH2df6FzK3m6EPA3+Xr0YrWCoTE
YUbPKEUBD3MF7CZGU+/SckgCr/f667EW1jacc9A9AyiBjNTUE8Eww83SebX9zP6GWqpE7TcEhU/u
W6oTguQzUlFRqUbuQw4ZbQHjTuweo3+OBeUof8+Q90V7H9YNXyCTs2BGBPktJtfHaMinK1iN3Y6K
3J9oCXjhfccx4BoMQs3KO9vRZ1UQVYqgjdEV9pXXCOfdwxIiHdkUUbwnqX6+IpfMuWnKuCHtr2kM
bFpOf2lXuT5NopkPXplMd8LR3VM8FpfN2Jxqb5m2jW8RGQKt7gved7IMddNeisEJD23kvXBQG/cK
29igWnmfDnOO22TIsmwPJgGtLpg/JMGJv4CEGckcT4MqL6sU0aq7PPS2Wf8+ZUUOVMe38gHLOT0L
u+y5ITYNpqxvjeLLzBTqzvDn5daIGfLvopoGye+erp/qfi6xWEEBlqF1KAwWtwvCVw8Ns7uHSuSf
ajuf4lOZNyq8skvzXY9+fT3B7SdWhWfhIhsTzL9oCaEKk7OtHgjUc8xPScE/teOmRWp7V9Uw6Iik
pp+UB049flpiup/Sbr1I3SFfa+7Y/S50wQ46/kOFlw+YxJUU7XhJ0Tr+rHPMOCwBRzOrozOvpZOT
pBSyvcg5uf+lZfA3wljK/B+kZOcL+cx2YWp4tvUzl52cKYhlORfKydR+p04tEBic46z5GOR7l5Av
R5lA8BNICfSO//Tqnml7PsYODB62/zPGvDZmoaBpV8c2ra0nd0TEkjTJzFEib48VREh091pxHjTG
ghP8ry8ufpYH+SYNUstErCsUsUc/v/eRUVKIdQ8uoKj568MYYXPC+Wo9lWlHBSWFy5sf5IxcP0J6
irqi7KkBykjlR0xW4unXL+hndRT2EoekZuCZrhQSIuSP3ZAI3eRsRRQzqm3lxWjTfnCS2HpaZtV9
+K1IDr++nvOzpgXjIKBOx5K2MhGs/SxZo6k3IwvoqmMJsOiKKSVAA3bjd9gDGNMwsHyJc6RuN+hl
eywqLSM+oA1w24prcohztjtW853blLK9LdpB3BSGu5D1CyrpZYi1vyPOlVO/XMqQs3rhdh9mZNo+
XRypl0fLNYg+bybGiUnfU1vUqfOOin7Ujww8nQ5xp2AiHZQuwoU32MuAvuj+UqVHJLtT4EUUoBDq
xFOh7Pp1zOfug3Wi/EYGfflog8Za7fkdP+9aZs0EHXgaaOOJTCw2TJOqWhjh/WJ0fbf3YRDA5ogq
Rpv8YAvpoBbuoY0FWphOeNXruQFSuI24OX8I/2lv/rv2JroWHvB/p2vZvmeV/rHF+f0X/2hx+tjx
JQYwZ5XEEh6w6pf/cI6dA/9Q/NMm+CNO/b9bnNL5jSMbZGt7DUan+fjfHU5SLyTfCJLk+CKehTL/
pMN5hkz9dX01Vx0Jxb9Axo3TBMn6j99pHjOaQmFjnOB1DPes9sVuka1zUeRLtlM1qcLmMlgPdu7C
qqgAAwlmShee8BjaZtX4NCNLwaSKa1M02kNtZQ7OJkzTMgCJDw6dGDUSWKOHCA20xFvDCWAFBcny
Zeyzu9FiXEXOLtQ6iHAbMtwndKerJrBYUdgyw/XZyNx6ZMlHRF9ba5ZxVNzIceiesNEjIVBabmdg
tx+mgU/ds5+R2X+zayC0KuzvZ39mhg5e/tCMjiw3dtoXDwlwlcuq9mDFK8qqzURk3wH8WrJNc2L5
5tFVF0VEkm8Kqwh6eOjvdUe3Is2qxd1G3E5qVopSjg0ktg8T0o+NmhocFLNJCN5ituYOJhNTZKdx
rszWO+L/fahNkils1HfXRcapO5wKVJbAgSIP42kWg2RvGi/ca7Omn+fje/FK0RJClOGMQ8AAzLMN
+LCK06JltleOoWAVQAhliyC1Qap6P7E4l8eppEMECJHOG72vx8ZhsDnO8QuqHOsZO557MUk1vJai
Ih4Qhs7WBG0T3tTtTHheXsE094M1IMA8DWVoL49lC+ux3yVj5RlfsnwSiH2BQxnLvne7FNVBWXVL
YDqVRGshNfBboMnzQ2OXHjHCvmnsRq+xJzRJQ4Nw0uraIzpGMhiLklkzLnh1OxXglShNTIZkiVHE
mu5dZw9YqhLnSmUtsfKCSfPOyBZEOnrwOYulvcxujBmsgIFGdJoigH81KggSFmg3GjE0ngp5uoPI
ZOiUH9TDVC7lpQpL7bavlRU6D+3CRCtjFkkPhEDFljl8Ot6DcyoOZVN5itpOLcMw7gFemTTRaHW2
60gcRYv7PJprZJvBDuXRvPHTvPADKzpnu5no4teotwz2jDldj0k5kwPXnEPhOCKJT9WaFDeeQ+Pm
c4CcdQ6Ty9ZcOUAKUGCMvqPxlcwkz8XnEDqALYy3tUs2XcZkBOyU3yDDiBoc3o0VPpRwGOuAlaSB
r5TV8Uv4PfIunS0RFHi8b5dhdIc9rkAC8no6kKSd67K8nNcEvWrN0gOwS6zeuCbsteewPZCQpN6e
I/icNY2vicnly9eEviYmq89dU/v0QH6fG69RfrwArOpmt+LiSfqb1sy/ZIZ44HZt+YLbHu2JatZ4
QEiJlP3CJzXQWvMD4zVJ0KsVoYLERSmoCmvWoDAEbT1TUHTocxghKnyCCcU5QsDsNKNgVd41a4Kh
gqETc/K/9dMhegrPOYdoZhwm/KQf/mdD/L9YqZnSraLi/31D/PS10//vb4d+33/zz6Gf+k0xmFsx
hWdd5jrZ+2NH9Ih0An7tSTYj8UdG1J9wQ/M31zaRh3rYg22ScBkV/qn0VL/h83KJynM5MK4Um3+y
Jbrez6dOwIoKUqKDhQsII4fdH7fEaJZjXqZRjFtS9afKKyGZ4Z7oTvZM0EouNY33rLfFAydNRiER
YSPJlGz5Yo/HLG4NulUYIfat9ttH4CAGAvfcf0k8nR9i31gzO9YWAz3ChhV0bTxMaw8Cj7Fq933a
h2v5LWlT+EwVnY3MHHc7+KAdnLWj0YCpLb2sZ6o0Ry0ZPV70jAAA/dvgtGHgu+lnfxxfyGKnVSJJ
lHxe+PIwficYPRkMksTX5kq0tln0ueNCgM6402iDhoCEjObBmZuE+dGCiKw1FS2byrhPwjrttjGR
bMeWxuL1Ms7lZlrbPay3wyldW0AQY+w9Pfr4zvI7DJn+sr5zJhPdzirchHWNZhLeR9pD8TgXj1Hs
OHtmh9BIOv63WltRvkie0RU56544XHty3nsDnQyjMattRHMO1FQi9WNGs/2OdDn7Pjz3vapzD6ya
e95x7hnL1u8B1UCYkTtrbZy5NEa3vOZsa3f0/GRF7o5lKEUj2v7UZ1l9FHTh1NqOE318G3E+1zhI
oZpsFYtNIJ1RbhC6L/IKGvaq+S9dtih30Ug89NEfS/0su5luSQ0IYmcMVgspbaZf2Halw+fh9FeL
Zx01XUWEecQhro3GLNQvYTmbl6DjnmHKS6SfZvlGjM58KWJ6J8XMIQs32C4S2tnmaRQ9dBI4Pg2N
Kr/20gKP7Lnv6edFrDZ1Ubm3Ud+5d5lN1IkRs8mHbWjdz3gFd07kcrJZ6q/63F0t58XdhU0S3S20
OC8nnyZC6toBlsoJrSot2lzQZ+1LKhBh689gZEqmjCq7QFBBd3c8d3qnc9cXvkdHnHyDdCkdxD09
beeEjt9+zNw1gtEhStgBoO0Geii4ZWNdtNeM2t5GKCA3BibmnTWaX2VZvGG2QZxXcGIh64M2db42
rNHliW5btLP3yoS9f1qMVXoyhDmFXUi/ezn3vs1zHzx02cmCvBzHN2aflbkFp5ygTkKXMqFzopm+
8CnvHKVBI6zpvvfD2nbP1gZ83aAFQNg1h/cD/fnREa9L57+abQ9Sx/aZ3ZsFoEE3IeVGKjpVB8yb
NHDXrr9D+z8K668mvHGkjutsoF2nBA4SQO82zqHelcxUsKa7FkZG1g7+AmN0u4tvuiY5ea4/Xkyi
REtcuQBXgj7qRuu6O88pvBBfdNC39WtxnmO060ijNbs9WT0hYCjGHe06+AD8yAhkHYb0TEVoOsYX
2XlSYkGMLI59KDiisLunJ3q2hBkkHWPoDQRC57pz7HCn7Cq+iItQ7Jpaj3iwQTKL2vU+EQs2Oxu9
nEpTGceIgIxDRgwRwVOWsXdCpI2+OY/7UqYJrdg8+0wa27wtUDSePEKbJYdWvF2zoHnGkX6Ttalz
D6Mo29UuajaX7MvAGzLCbZqiuUwzmyMN9fZhwDkYDKKIrscBJXjQp8vyRC/IuXAYSF8z3DBeRrRN
fY5FE5RTkRNbiSmn8naTYRf7tD658/QZzTL4z7azLiaEcTuHnzrljlldi9yGVOlIA4lgwyHK3Doo
aNUFCRP0i1Xb3Nt+az/h2wIQ6YIUih0sM8EMnvUQ0plRgZ9n2euScoiXkyJMTAq0mO2ACMIDuj/0
BGw4ym/3UIAQni7DTb5E8zdACXDjB6X2sRPJHDRWjdk87L7I0EW0q9AFbmJ3ZQ1aZn8RFnMOOWZN
c8v7t9Vhtx91PhzLhZhzIPSQ/za6HkeiAopEf7FKdpudkqq7IkyLOIdIPEbK9aDeF+YpMVcORuml
h1whIaVpeexqYGiCDXZHFNiMmMwYjqikzAtzXnX2Pulc7ignlOaeeXI1EFZ2bG/f1aYFYlD4p6lU
CdOq/CFc5Vmqi9RhrH3ogeFK/EhQ/DLL8RgN1qy9oxjyrW9bzUWDww1jZZQ1W3Oy71qy+7AiWHPg
8BW9jusouUmQlAVZjqsL8oS/dTglX866CYFBNqepKBoyaKfug1nbhK22HncpKNArbdvRZullfNEu
/u+4h4qLyAH47hN11Wfj70Uh+50pZsCePdsNjPoLr+2iYz8y3S1C72YQ4YMmq+jGLizsw/3g3APV
KPYtDP5oTh96szPuxzi9m7ivlyAtLL6N+U2kimU/Ee/C1kiWrLlxsXfsnYUOtMx8KF/O0OugRcLw
LLOZnnPPfX1o+iRyQbXqub+eOzOqdig6qPusZAIqq017RpAvgW6YpEV5C/neoV8vj0Vi+sbnsYOa
u00YKi8o/3EamyS2Up4RzpHDP1P0p+Yjgd+PzhnEupyhrB28+5shQ2YSoKTBeUxsWcUxmyHsfOa6
Uuo0t1ZlGTHI2nb5ZNf99KmozOlSrWzYfqXENrMxAowtFDQTMWfDpelmI0t/XnIPaK2RxwZtVhSs
mB6ZKu/zyqLlPJdeMrHtbab7sGq9pccabBYdY3xnh0R23M9ntq3VG4dOw7vtZq/ZUz6CajjjcIuS
5TVrbG4QCu5pH5tR9EIRXmMxLfSmrTMkiX6BfzJpF+BRJrSPzYjIYNywu2FcrWRtn9q6L+Kdttpa
ELIw9z6K7nQw9w5yVyz2c+ylQafIgVkypCxzJ0q47l439BfnKQ7x8MaF0ay0YJPQYxj0tvRvhWO4
Oqj00iR7hK1QYzzCH7ex3bvbjHrotXNSSBdTaqb3Xtw2D6mfQiz23TlBMu47hw7Tyb7FfXRczpTj
JpsGiMdzq+gEriDkHNvqNuyAIxdnTjLQk/kzIA25dzvnYOuwJ3jnDFdmaAOON0tCYG2wlyM8NtTm
SRft7MmgezK76Ds4ATVoTsEdXciV5YxeOiWz3AzJAultYM/1GfzcZdpEKq/1ZxbvBRl450LpEb9L
ogL4YjsmfhnOWw0CFDrlKIoyqCm6T+dN2ztWoPFJE7TuxoBGmo4pqJvF/Q4wwzUBMIjUV4r12Cvn
wo1XtHVpe859dwZed06ZHyTzzR3QWPvSO6Ox81LOH/Ca4zefM/czhbg6hTIGp02trMgX5mi2DSMR
+degYuzAmtVnveJJgRZCGYtAluYrvNSaHPOiZSpNT4UmyqtdS7wpjMjo9dqKdSC3/OucXLevFmCu
QDeJeGc9TS6T0SA9oZHu52EAVkNUW6HCvYG/ydtqXAqUrgVTxRIuJWMuG23sCIx/VtkOyqN/YOTW
75xpGE6LGkb09kCEOjocG3JSmZ45pKtUVO/vKORBIFpVJfciqXDn1KKmF40LOCiqiYSiUDf4sWN3
bw2m+rBKa7pC3bbceDBdHmtg307Aep5+Q3rWPYE+yz9HwoRkTX6AD1IH1hgKBvMSfHuzVzyvJ7OJ
XKLqNA4dswZctxBhYyyOgRtX1ru5VIKzP8EJDnDcAElvnLE0F+V+BGl+SHOjvJhMZtA1rqinCqHM
3jDbna6blGDtNsa7zAwyXaeRLBIDZmMG0pUa1kA5Vj4buWMQr5NM8uBceE/reDNbJ53VOvPMztPP
hDMK2VUNByhmo/F5TEpyDRPTdXY6aCjRtEcYqNbrbBXONmPWcZ24/qf+/7/V/0zBfln/J92XqiT7
5q8cNRS662/9Uft77m8sYEBDGOZgrzonPf9R+/vWbyT6AqGl8e3hx11nbX/W/gTEMfujjc7/sZDj
8gf/qP3XdrjPdIjR3HlSxrX+AU3txwEX/DT0WtiwmDfx11bY24+VP1LjOAO+7p6oa9pjW2DMdETZ
HpeZ4KZAt+hr/3KD/ma6+XcXpBli4vF0TM8VvLG/gjIy3nVt1YVzsh3L24phTA6YFbA+EvF4jNh5
vg9z/lc0zo+tje9vUEmX++WjqMYV9OP1/NSlpAHZflJV7L6nPhew01Q8dQ7iz1+/Nbo4fxksnC/F
R81n7axJCEzhfrwUvHME0JmQp6wYnfdEpS25kgtjTJik4kYvi/+iMiwGZPdMD7++9N+8y+8TF4K8
Ed/93MAZG1YO02jlqbOQ35E3wYyPMhSLONFxRfDri/00pT2/UZ5Apicc4mH9rU/7Xz/DqSJnD4uc
JK/L5UIgB9CWjqnJWHzQio22tNM6vqRFjTZ0bgmw/SxFlcdbwOdGYHJgv/r1K/rXt08vzMNFTVCI
q5ic//iC6OeGfR6F8uSNFNXBWcdpGlly+P+8FvI3Ekp4hHlwfnqgyB4y8xi/KCOgUdz00ug+qK2n
hz61/t0sfr2P/2PAXu8z4y5JX84hzxxjNw3Av97nRNctXNZenoYw/vZdF2qBR/rn945FCAYIF2OV
+unDNGk7KG3l8gTKvjql3sCA/cyVEEuGgPbXFxPr3fn5LZG+LSwGxNzCn9lGXmiLYcHmekotiApb
BhXVSYQGOtyzmNVrMucd+xhf0sSfHuZY2xcgJ+x/I7H4mycYMSvLnrl+VSUshx/vbAgHJQzdTJ4m
RlGXNgBiAxaa713VRscTSnB4scsyC7HDvACsIbmILy8i5OTACtIef31T/u7plSvO0l8/afUzMSzL
fXcqspovL3aIB9MEdHvWwksAE7t/film8x5TT7aWf5EXTLXXVq1q7FPicHv9swkAkjhLvbeqo399
sR+XepbvlRFqKjCdqDn+9fGtY11hLK6Ny3A20QUYJBm8lnZevy5nTXS5Ksd/fcV1XP2Xx2u9JCFB
4Nzpta8f8L+oV7JFWqQB+ZcmpfgBcTyy5K7tpgfMpdND0oV8rrazTHcUPNYTGGh/V0wwrZRR1uMW
oSU+1obt77yCMHRErzAvFjL8MDYwFiSCwOBfv2TMOj++ZjZ+nJArswGxCROHn9F0pTelcqKAu+xy
s9ibS7zsq8Q19pHosn5TmcU8RUGOLrZCupySG78T/LH7FgnUWdDMa0QXyNobOpH+II1Lf0xWxqPr
xwvfKwtWSbw121QMG0eM1ASUCvK9ib3pAYxgezRTfq01Ef0rFMAtykkL/b9FtLmm7XpCXQknIeUG
QgZM57soyY125zLKfwF7YqTAdsJGHAVZpDSrFd7IbeHHbhYQCB/ahPclNiDosuEaHnf6jIJg7Gua
GzlIJuB0K7GKxBVPSC1F/Tpz0l4ORgjY8HJEpIyzJira7dyKMr6kOtUfWZo3r9BUrfqyEKs0iQ7u
nWFpA4MDmqDkTZAhTc7LYrsUbCPQ+hdiHnj2dOa+Z1AtGA7Qk36fhd99fBcaucPgvBdzZn2pl9A6
4pxpHlpXFyiakXQT7Mik1+p8Bv0jfHMm/zOWGIPBwElOmBckKduBPUnuaJiELzMhZofQtruPttPE
aleWeNL4MnAYIBF/QAe9vFgDLILal3xORMPgUZna7iMDwUbsGiPz3dKFaIW9ufVf+nrmp4xwBj8R
lvyVIp3F06K5b5LOTPN9Ry3Zqfd1R9AGE5q4TVc5lM6pVxVPtoxdAuEKeuDqMl4PJkaqCF5sCv/K
xDnwkAG8mFBlGwbQeOylN03S8NTQNXXelZtxN+n117Q/KlxhATHvyr2s1/XSAMXeHTo5kM9NAggv
xnbUGlCo2RfdKub7V5nRTNLA4omb2ChyPkqHAGKG+F4D0X2Wq2kog1e+ESW0JlT1hv/SIWdG/KNh
zNLYxAgm1gAWTTd+2s85+/JGlw6eodqOlutF0WQMRFI474AnnHc3hjfBxKL1yd6cRfsY2Yt1XBZk
01srcuVbOQzlk7ck8zUcD+LCu6kS8NZz4VF6mu1lklcDQu7V99PlEySScqn6rdmF7hMUxQQurLvm
RwGxnm88kyZhIWNIm0Xm+wAuOlrqjLPQ+C7zUwa8CKEvLlz01qQzljyTmLQp2u81zA4Ux2FffK2c
Vn/z5EIgs6X6G2iLmMfRm+P77DNWpmDJWbioUhGiamOuP7sQH7p958zul2lRYtsx174CiN9Ge9R9
Cm5YXyNxTiuCX6u+uvEZU8BuWbr4LbINcm0rTfecYvrQlHN4EgSeNAevG91XuIDgkcp6eXMZmV3a
knjhzTTK5Q3lZkYtbC3ozQY+Ri90AAZkY/mWMp3S23JA6IyoXB3WwygdnKnpMNW2hUGUZoyHu7eK
feEhFmdhwm78X9ydWXPiShKF/0pHv8uhFUkPfSPGYBsv2O7FvcwLIYMsFQhJqLTBr59PYPpa2O32
jIiZjuHR4KQoVWVlZeY5J1HHnwqyV+fxfJmezzIQxiurWPljhM9PQkUotLIki+9iXsKlTnqBhlRa
F2ZLKWhKzzy6YNgfYq0MxtD294sy004XXONnmaNcQ7Gq4v6NcQIwIjPIQvXsyEjoCG9KHkDUye0G
SfPk0+qKSNcZAitCRjkWcK6ZY1jwqKu54wHt5ORK6ToFhAuybp2sKN0skuIuBdmX9stYnhYNe2Ec
qpPIlsl3NxL6sXA1hK2UsTEoIsbhQtr+kVMJLuE17v2qZy4rWApUnqgd6LOrBDr2WzUvUtDn1Kr6
So+IzFuNgdAp+owtIdE0qk+SNNdnl1DhNpksowYJhrfNp0Gm4pCSNZC8FSTN6P3kpQvspqAbxilI
+pw0steQvqJkDbE7isbrvm4hwz3WzPo2qpdK317R25lTenEollhjYHS6Sbk2ixprWp3KM3jRcEF4
4wYgneBta+5RUiJFOuhROP1SpiZbvwit5dCsoZEZWtocNoSUZdvkPJrycRRHP/RkGRDPhQXMgUai
J+z5UAKAJk/opA+rtDSPZWkDqY/sXJ7EM7PyF06FTBZkZ9Y3pB7c8yx05TAinRMex3UgqJhps/Be
lrk3Sy2ST6YIUMkFVSK/R9TNlM/Q2STG0NFD0tywGfV7EW01YVUthzNaI09hLk3v0Nld2MdQ3FR3
1JQXn3pB+qBH6++1bmo38xwOZfwqcHXdhQrABMsyDfIwmK6FqD4Hhc2TY8ejGFui93RsBpAawTYo
mv6mSNoX8B9Ac1dXEW1Okg5LUmgoW1RD5BjUS3OZrEZLSfKsB7UEyhuLeUH9lqcAQz75hK+g/WoY
h7Q8GtU0od4ACoxu6CkpPi2Es+wj2ksZpVSiExKxxj1M0+UlpC6k5ayxLnrH0jFg3gjJR1XFugJp
tYxwF+7YggnDMS9WVXk/TpXqc5UH849agTAWLDjWP+dVbx70M1ABnJWNPMeStvZrF+bHUUat60Jx
K7d3HJaB9HQBhQT9nu5JTC/4JS18yvjYRAs7O9NweWC14gJRA03XEZFDcJMcdhQbX3rzFJBQTLtV
KkJklFfF+mMeIo7ilkH1o4jyJTULKU1xUYu6tvpOoipQ9owRdL3u1WqVnrlhIYfccpWrmb1O7lSR
6UiHzcHONZledT4sWDzXFSf8g1Yu5ahI0/IMqOTqkmbiRTRI3XBM9VHjehHi3M4gmdVEPyWyUPpB
aZcfA70kqxzPxii4SVzej3mdw3iKjNkVMmC4UboAoGpbor1TDfQFeoQUYhN9lNurtXW8cpdQpTiR
beIQtcpPdOhsT10IxNGiCMxz01zqJ3QZAhQsbPFJLrTlXaGt5FcH1ONJWa8R0Z2R+JzbPROuAaBE
FNRm9sBIK1sAyVmHU3WRcw7lKjzTMA2JaGAyVbflmnsKrUh2BthnLG6Q3Kzv1KxSRpbIqRQJY2mc
OoqRAVZIY+t0KW2r6ie6cOVZwdp9QDuk/pY6Rj6prLE9rXrIPZyqaa+AowbSv6g/SyIb7hPHSB4g
9lmC2w7huRmiufdghXVwK2cLWgPXQuYXRlWjK5QktOSFtUCV0aSVGv6kOLtRoGg40dXeOB+4ATF7
sF7VNbCRBGJyi35kB354SDcUeve+w6CdgCUO1rMb8JC2CjllHN3EbhRB/whk72OoGDw1Go41c0hh
LKqLr3W4rMePcpf/N83Bjz+kkV9Fr1GgY1v42eqTL9kxcpcobN69TUScf0n+sw+9buid/6bsKmR4
XIVb3VWbQW1G/JqNyOOHFVP/w3tDOzK5zpInbbgReAEoiBJkdrZvK657ZIAyd8myNxSnrsuFkS98
Mkm/mobXf+F2Pl//TOsXTJIizpvnEIh9LTMSLm+Zgz0LT+bAPbKAKaBFReqgeUHpsDcHqkaHV5Ng
2Ly2X/jfnwNvuhDxgE2fiUn+NGMO0tV92yTsmXgyCfYRjBpc+zU0hJvX3kKgnH9EiEXmydyy3W6/
8A+aBNrbyQy8ZSX8ehIchOscaDsoDLw4CaoF4WQjo8wS+Z9sg72hb/3E+fTDe/avQXqz08/XodN0
LUsjsffiz6fX0nQopUDstH3/z5sFOqS2Hmpb3/jpp/8Nl2iqCPcA5KCgs93urPSn7sBxUeJxeuCa
2HWb15+2FsjKmttH02EW9CN2u0HXz+Oz3vMHaBj1VNwml+E/7ufTf8toO20FioSA96jqGY+eYO9M
sK0jOpThTabdd/Paup4/yB2yPs3Os2AfmTDQW00H9ebFs366FcDwHpEqZdNtqJU2h8Zb3eIbpupn
uNUPRTTdBFrCly/FY7/6wC7AeP7+Y3DRuE4EAX5WgDcfbGBe2+/+Ow77q+V5NwHQkzd3AdHTf3/8
gc+/+sVB7f44FH7mZZMQTowm+Hwc5rW3IFj7R+Tdewvv6clP1MbK/HskH963xvlkF/zGsJzv2W3q
cp3tZmKdtAmcKfoRs3Y3PPdi6cmdpc0J6Fqs966W+16E2FW2x0G2DbA624Y4J/OmyW6Uzai3UUt3
y3HsT3IxKVpxIf1vnIZdjQ/8yKu8zN9ZaoaNgNwBJnsXy75LHt4BlS8W923qN3DDB1iFp8y6mLaX
9zZa6jozZ34CX13bMqcC94OulofMuBA7O5vlbWz6W7oaPp96YWsBApZrOOw620VkLk5Ee0duo7HO
puMpmmztWW64/w4w6KTaM+s24UzXAV8+9020cWgHMMzIisl8tbO0WRfN8bv7w4sA5Z+B0GtHwFVS
CPlsml1C/e62R56IW96DesAhjpeRR6pwX4QTBv8DPMKRJ6U3If/p53lrTT/G1l2XyEhMQhF4rb43
nTs2YWR305wFcg9hrnNtP8CGGQkJ+Q7C32nLN0H3px7IelJk+6YPMvAkzvd8SNNT4Xaf7mv/PvP2
oif6YUAUdn6S137ptc8twPjGAcKna796N/QWqQSZ3dqY2HcPsHsa+xd+Jv3VbhIaT0UFsOEK6Lq+
G+MjvxaT1jGG8Sb/cQjjPyCz2ll6HHdzn+xsGj73l0VNdKOnHewLnrNLYL5pSus6/ptQtGfcZLUc
wOw8IiJp32p0ILkHOHduMj/YTxZzY+8+5ls/juUqKr29awL9nPoBxv07gelfFwfedNR//q26zkG+
4PlCpF7RNJx1XYhfmH1fSr/luQyaEQ/gGb/4dftWaWyLLF3HfJd74e6XNz4FOTD9AGf9Vz9bcLK1
LHMUH8ARvgjKp/fuAI7km8e5A/N/e2s+5qu6TvRvGQU6ru1vryEWutpeJRR4gtbT7NFbv/vDr6L7
lzJNP2t0z/NPu9rbS//WTq41n5hEvpf99S8AAAD//w==</cx:binary>
              </cx:geoCache>
            </cx:geography>
          </cx:layoutPr>
          <cx:valueColors>
            <cx:minColor>
              <a:srgbClr val="00B0F0"/>
            </cx:minColor>
            <cx:midColor>
              <a:srgbClr val="0070C0"/>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accent1">
                  <a:lumMod val="50000"/>
                </a:schemeClr>
              </a:solidFill>
            </a:defRPr>
          </a:pPr>
          <a:endParaRPr lang="en-US" sz="900" b="0" i="0" u="none" strike="noStrike" baseline="0">
            <a:solidFill>
              <a:schemeClr val="accent1">
                <a:lumMod val="50000"/>
                <a:alpha val="98000"/>
              </a:schemeClr>
            </a:solidFill>
            <a:latin typeface="Calibri" panose="020F0502020204030204"/>
          </a:endParaRPr>
        </a:p>
      </cx:txPr>
    </cx:legend>
  </cx:chart>
  <cx:spPr>
    <a:solidFill>
      <a:schemeClr val="bg1"/>
    </a:solidFill>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19050</xdr:rowOff>
    </xdr:from>
    <xdr:to>
      <xdr:col>5</xdr:col>
      <xdr:colOff>590550</xdr:colOff>
      <xdr:row>18</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C7BB45C-914E-4DBA-9A81-853AD4B105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2143125"/>
              <a:ext cx="3028950" cy="212407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9525</xdr:colOff>
      <xdr:row>9</xdr:row>
      <xdr:rowOff>28574</xdr:rowOff>
    </xdr:from>
    <xdr:to>
      <xdr:col>16</xdr:col>
      <xdr:colOff>0</xdr:colOff>
      <xdr:row>28</xdr:row>
      <xdr:rowOff>324971</xdr:rowOff>
    </xdr:to>
    <xdr:graphicFrame macro="">
      <xdr:nvGraphicFramePr>
        <xdr:cNvPr id="3" name="Chart 2">
          <a:extLst>
            <a:ext uri="{FF2B5EF4-FFF2-40B4-BE49-F238E27FC236}">
              <a16:creationId xmlns:a16="http://schemas.microsoft.com/office/drawing/2014/main" id="{DF6E519F-AEB0-4DC0-A59B-207E92742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18</xdr:row>
      <xdr:rowOff>28575</xdr:rowOff>
    </xdr:from>
    <xdr:to>
      <xdr:col>5</xdr:col>
      <xdr:colOff>600075</xdr:colOff>
      <xdr:row>26</xdr:row>
      <xdr:rowOff>180974</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76A23311-D0DE-E6BF-8AC9-41C720DF237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07219" y="2933700"/>
              <a:ext cx="3028950" cy="16763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593912</xdr:colOff>
      <xdr:row>29</xdr:row>
      <xdr:rowOff>11207</xdr:rowOff>
    </xdr:from>
    <xdr:to>
      <xdr:col>10</xdr:col>
      <xdr:colOff>593912</xdr:colOff>
      <xdr:row>43</xdr:row>
      <xdr:rowOff>22413</xdr:rowOff>
    </xdr:to>
    <xdr:graphicFrame macro="">
      <xdr:nvGraphicFramePr>
        <xdr:cNvPr id="7" name="Chart 6">
          <a:extLst>
            <a:ext uri="{FF2B5EF4-FFF2-40B4-BE49-F238E27FC236}">
              <a16:creationId xmlns:a16="http://schemas.microsoft.com/office/drawing/2014/main" id="{734A08DA-0957-4E7A-9D9D-872D94F23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1527781" backgroundQuery="1" createdVersion="8" refreshedVersion="8" minRefreshableVersion="3" recordCount="0" supportSubquery="1" supportAdvancedDrill="1" xr:uid="{8E290116-3796-4FAB-9DB9-4CD1063A1E53}">
  <cacheSource type="external" connectionId="7"/>
  <cacheFields count="2">
    <cacheField name="[Measures].[Sum of Total Sales]" caption="Sum of Total Sales" numFmtId="0" hierarchy="55" level="32767"/>
    <cacheField name="[Transaction_Success].[Month].[Month]" caption="Month" numFmtId="0" hierarchy="38" level="1">
      <sharedItems count="3">
        <s v="April"/>
        <s v="February"/>
        <s v="March"/>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2" memberValueDatatype="130" unbalanced="0">
      <fieldsUsage count="2">
        <fieldUsage x="-1"/>
        <fieldUsage x="1"/>
      </fieldsUsage>
    </cacheHierarchy>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71.575284837963" backgroundQuery="1" createdVersion="8" refreshedVersion="8" minRefreshableVersion="3" recordCount="0" supportSubquery="1" supportAdvancedDrill="1" xr:uid="{3C09EF0E-F97E-438F-9C7E-24EDE6BAF4F7}">
  <cacheSource type="external" connectionId="7"/>
  <cacheFields count="3">
    <cacheField name="[Transaction_Final].[State].[State]" caption="State" numFmtId="0" hierarchy="29" level="1">
      <sharedItems count="8">
        <s v="California"/>
        <s v="Colorado"/>
        <s v="Florida"/>
        <s v="Illinois"/>
        <s v="Massachusetts"/>
        <s v="New York"/>
        <s v="Texas"/>
        <s v="Washington"/>
      </sharedItems>
    </cacheField>
    <cacheField name="[Measures].[Sum of Total Sales 3]" caption="Sum of Total Sales 3" numFmtId="0" hierarchy="58" level="32767"/>
    <cacheField name="[Transaction_Final].[Location].[Location]" caption="Location" numFmtId="0" hierarchy="28" level="1">
      <sharedItems count="9">
        <s v="Los Angeles"/>
        <s v="San Francisco"/>
        <s v="Denver"/>
        <s v="Miami"/>
        <s v="Chicago"/>
        <s v="Boston"/>
        <s v="Dallas"/>
        <s v="Houston"/>
        <s v="Seattle"/>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2" memberValueDatatype="130" unbalanced="0">
      <fieldsUsage count="2">
        <fieldUsage x="-1"/>
        <fieldUsage x="2"/>
      </fieldsUsage>
    </cacheHierarchy>
    <cacheHierarchy uniqueName="[Transaction_Final].[State]" caption="State" attribute="1" defaultMemberUniqueName="[Transaction_Final].[State].[All]" allUniqueName="[Transaction_Final].[State].[All]" dimensionUniqueName="[Transaction_Final]" displayFolder="" count="2" memberValueDatatype="130" unbalanced="0">
      <fieldsUsage count="2">
        <fieldUsage x="-1"/>
        <fieldUsage x="0"/>
      </fieldsUsage>
    </cacheHierarchy>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72173726848" backgroundQuery="1" createdVersion="8" refreshedVersion="8" minRefreshableVersion="3" recordCount="0" supportSubquery="1" supportAdvancedDrill="1" xr:uid="{1C47EE22-7C5A-44A8-B853-4D1CE8AA9EF3}">
  <cacheSource type="external" connectionId="7"/>
  <cacheFields count="4">
    <cacheField name="[Measures].[Sum of Total Sales]" caption="Sum of Total Sales" numFmtId="0" hierarchy="55" level="32767"/>
    <cacheField name="[Transaction_Success].[Product].[Product]" caption="Product" numFmtId="0" hierarchy="40" level="1">
      <sharedItems count="10">
        <s v="Book"/>
        <s v="Headphones"/>
        <s v="Jeans"/>
        <s v="Laptop"/>
        <s v="Refrigerator"/>
        <s v="Running Shoes"/>
        <s v="Smartphone"/>
        <s v="Smartwatch"/>
        <s v="T-Shirt"/>
        <s v="Washing Machine"/>
      </sharedItems>
    </cacheField>
    <cacheField name="[Measures].[Count of Order ID]" caption="Count of Order ID" numFmtId="0" hierarchy="57" level="32767"/>
    <cacheField name="Dummy0" numFmtId="0" hierarchy="63" level="32767">
      <extLst>
        <ext xmlns:x14="http://schemas.microsoft.com/office/spreadsheetml/2009/9/main" uri="{63CAB8AC-B538-458d-9737-405883B0398D}">
          <x14:cacheField ignore="1"/>
        </ext>
      </extLst>
    </cacheField>
  </cacheFields>
  <cacheHierarchies count="64">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2" memberValueDatatype="130" unbalanced="0">
      <fieldsUsage count="2">
        <fieldUsage x="-1"/>
        <fieldUsage x="1"/>
      </fieldsUsage>
    </cacheHierarchy>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2"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y uniqueName="Dummy0" caption="Country" measure="1" count="0">
      <extLst>
        <ext xmlns:x14="http://schemas.microsoft.com/office/spreadsheetml/2009/9/main" uri="{8CF416AD-EC4C-4aba-99F5-12A058AE0983}">
          <x14:cacheHierarchy ignore="1"/>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060185" backgroundQuery="1" createdVersion="8" refreshedVersion="8" minRefreshableVersion="3" recordCount="0" supportSubquery="1" supportAdvancedDrill="1" xr:uid="{ECDCE5FC-6CF9-4648-A9A6-2664EB870CBA}">
  <cacheSource type="external" connectionId="7"/>
  <cacheFields count="2">
    <cacheField name="[Measures].[Sum of Total Sales]" caption="Sum of Total Sales" numFmtId="0" hierarchy="55" level="32767"/>
    <cacheField name="[Transaction_Success].[Customer Name].[Customer Name]" caption="Customer Name" numFmtId="0" hierarchy="45" level="1">
      <sharedItems count="10">
        <s v="Chris White"/>
        <s v="Daniel Harris"/>
        <s v="David Lee"/>
        <s v="Emily Johnson"/>
        <s v="Emma Clark"/>
        <s v="Jane Smith"/>
        <s v="John Doe"/>
        <s v="Michael Brown"/>
        <s v="Olivia Wilson"/>
        <s v="Sophia Miller"/>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2" memberValueDatatype="130" unbalanced="0">
      <fieldsUsage count="2">
        <fieldUsage x="-1"/>
        <fieldUsage x="1"/>
      </fieldsUsage>
    </cacheHierarchy>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75462961" backgroundQuery="1" createdVersion="8" refreshedVersion="8" minRefreshableVersion="3" recordCount="0" supportSubquery="1" supportAdvancedDrill="1" xr:uid="{28386D06-B424-4667-BE67-B3A728ED03C0}">
  <cacheSource type="external" connectionId="7"/>
  <cacheFields count="2">
    <cacheField name="[Transaction_Success].[Customer Name].[Customer Name]" caption="Customer Name" numFmtId="0" hierarchy="45" level="1">
      <sharedItems count="10">
        <s v="Chris White"/>
        <s v="Daniel Harris"/>
        <s v="David Lee"/>
        <s v="Emily Johnson"/>
        <s v="Emma Clark"/>
        <s v="Jane Smith"/>
        <s v="John Doe"/>
        <s v="Michael Brown"/>
        <s v="Olivia Wilson"/>
        <s v="Sophia Miller"/>
      </sharedItems>
    </cacheField>
    <cacheField name="[Measures].[Sum of Quantity]" caption="Sum of Quantity" numFmtId="0" hierarchy="56"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2" memberValueDatatype="130" unbalanced="0">
      <fieldsUsage count="2">
        <fieldUsage x="-1"/>
        <fieldUsage x="0"/>
      </fieldsUsage>
    </cacheHierarchy>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63988657408" backgroundQuery="1" createdVersion="8" refreshedVersion="8" minRefreshableVersion="3" recordCount="0" supportSubquery="1" supportAdvancedDrill="1" xr:uid="{C52F4CCF-3038-4BC0-8716-C7E3F760DF1F}">
  <cacheSource type="external" connectionId="7"/>
  <cacheFields count="2">
    <cacheField name="[Measures].[Sum of Quantity]" caption="Sum of Quantity" numFmtId="0" hierarchy="56" level="32767"/>
    <cacheField name="[Transaction_Success].[Payment Method].[Payment Method]" caption="Payment Method" numFmtId="0" hierarchy="48" level="1">
      <sharedItems count="5">
        <s v="Amazon Pay"/>
        <s v="Credit Card"/>
        <s v="Debit Card"/>
        <s v="Gift Card"/>
        <s v="PayPal"/>
      </sharedItems>
    </cacheField>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2" memberValueDatatype="130" unbalanced="0">
      <fieldsUsage count="2">
        <fieldUsage x="-1"/>
        <fieldUsage x="1"/>
      </fieldsUsage>
    </cacheHierarchy>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09867708333" backgroundQuery="1" createdVersion="8" refreshedVersion="8" minRefreshableVersion="3" recordCount="0" supportSubquery="1" supportAdvancedDrill="1" xr:uid="{41ECD22A-ED5B-4340-A31D-D9878D34EBEC}">
  <cacheSource type="external" connectionId="7"/>
  <cacheFields count="2">
    <cacheField name="[Transaction_Success].[Payment Method].[Payment Method]" caption="Payment Method" numFmtId="0" hierarchy="48" level="1">
      <sharedItems count="5">
        <s v="Amazon Pay"/>
        <s v="Credit Card"/>
        <s v="Debit Card"/>
        <s v="Gift Card"/>
        <s v="PayPal"/>
      </sharedItems>
    </cacheField>
    <cacheField name="[Measures].[Sum of Total Sales]" caption="Sum of Total Sales" numFmtId="0" hierarchy="55"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2" memberValueDatatype="130" unbalanced="0">
      <fieldsUsage count="2">
        <fieldUsage x="-1"/>
        <fieldUsage x="0"/>
      </fieldsUsage>
    </cacheHierarchy>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07840277781" backgroundQuery="1" createdVersion="8" refreshedVersion="8" minRefreshableVersion="3" recordCount="0" supportSubquery="1" supportAdvancedDrill="1" xr:uid="{FBB2FA37-008D-4E4A-8FE5-69BA7E4F208E}">
  <cacheSource type="external" connectionId="7"/>
  <cacheFields count="2">
    <cacheField name="[Transaction_Success].[Product].[Product]" caption="Product" numFmtId="0" hierarchy="40" level="1">
      <sharedItems count="10">
        <s v="Book"/>
        <s v="Headphones"/>
        <s v="Jeans"/>
        <s v="Laptop"/>
        <s v="Refrigerator"/>
        <s v="Running Shoes"/>
        <s v="Smartphone"/>
        <s v="Smartwatch"/>
        <s v="T-Shirt"/>
        <s v="Washing Machine"/>
      </sharedItems>
    </cacheField>
    <cacheField name="[Measures].[Sum of Quantity]" caption="Sum of Quantity" numFmtId="0" hierarchy="56"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2" memberValueDatatype="130" unbalanced="0">
      <fieldsUsage count="2">
        <fieldUsage x="-1"/>
        <fieldUsage x="0"/>
      </fieldsUsage>
    </cacheHierarchy>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oneField="1" hidden="1">
      <fieldsUsage count="1">
        <fieldUsage x="1"/>
      </fieldsUsage>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77716319445" backgroundQuery="1" createdVersion="8" refreshedVersion="8" minRefreshableVersion="3" recordCount="0" supportSubquery="1" supportAdvancedDrill="1" xr:uid="{23241DEC-1E95-4F2B-A324-2D395B8EB3A3}">
  <cacheSource type="external" connectionId="7"/>
  <cacheFields count="3">
    <cacheField name="[Transaction_Success].[Day].[Day]" caption="Day" numFmtId="0" hierarchy="39" level="1">
      <sharedItems count="7">
        <s v="Friday"/>
        <s v="Monday"/>
        <s v="Saturday"/>
        <s v="Sunday"/>
        <s v="Thursday"/>
        <s v="Tuesday"/>
        <s v="Wednesday"/>
      </sharedItems>
    </cacheField>
    <cacheField name="[Measures].[Sum of Total Sales]" caption="Sum of Total Sales" numFmtId="0" hierarchy="55" level="32767"/>
    <cacheField name="[Measures].[Count of Order ID]" caption="Count of Order ID" numFmtId="0" hierarchy="57"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2" memberValueDatatype="130" unbalanced="0">
      <fieldsUsage count="2">
        <fieldUsage x="-1"/>
        <fieldUsage x="0"/>
      </fieldsUsage>
    </cacheHierarchy>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89999421299" backgroundQuery="1" createdVersion="8" refreshedVersion="8" minRefreshableVersion="3" recordCount="0" supportSubquery="1" supportAdvancedDrill="1" xr:uid="{9ECA3FC5-016F-4D2E-8F61-852AA4E6D94C}">
  <cacheSource type="external" connectionId="7"/>
  <cacheFields count="2">
    <cacheField name="[Measures].[Sum of Total Sales 3]" caption="Sum of Total Sales 3" numFmtId="0" hierarchy="58" level="32767"/>
    <cacheField name="[Measures].[Count of Order ID 2]" caption="Count of Order ID 2" numFmtId="0" hierarchy="59" level="32767"/>
  </cacheFields>
  <cacheHierarchies count="63">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2]" caption="Sum of Quantity 2" measure="1" displayFolder="" measureGroup="Transaction_Final"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Transaction_Success" count="0" hidden="1">
      <extLst>
        <ext xmlns:x15="http://schemas.microsoft.com/office/spreadsheetml/2010/11/main" uri="{B97F6D7D-B522-45F9-BDA1-12C45D357490}">
          <x15:cacheHierarchy aggregatedColumn="42"/>
        </ext>
      </extLst>
    </cacheHierarchy>
    <cacheHierarchy uniqueName="[Measures].[Distinct Count of Price]" caption="Distinct Count of Price" measure="1" displayFolder="" measureGroup="Transaction_Success" count="0" hidden="1">
      <extLst>
        <ext xmlns:x15="http://schemas.microsoft.com/office/spreadsheetml/2010/11/main" uri="{B97F6D7D-B522-45F9-BDA1-12C45D357490}">
          <x15:cacheHierarchy aggregatedColumn="42"/>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898435416668" backgroundQuery="1" createdVersion="3" refreshedVersion="8" minRefreshableVersion="3" recordCount="0" supportSubquery="1" supportAdvancedDrill="1" xr:uid="{D9B6E32D-55D6-4A3D-BCE3-023BEF58F782}">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Location_Detail].[Country]" caption="Country" attribute="1" defaultMemberUniqueName="[Location_Detail].[Country].[All]" allUniqueName="[Location_Detail].[Country].[All]" dimensionUniqueName="[Location_Detail]" displayFolder="" count="0" memberValueDatatype="130" unbalanced="0"/>
    <cacheHierarchy uniqueName="[Location_Detail].[State]" caption="State" attribute="1" defaultMemberUniqueName="[Location_Detail].[State].[All]" allUniqueName="[Location_Detail].[State].[All]" dimensionUniqueName="[Location_Detail]" displayFolder="" count="0" memberValueDatatype="130" unbalanced="0"/>
    <cacheHierarchy uniqueName="[Location_Detail].[City]" caption="City" attribute="1" defaultMemberUniqueName="[Location_Detail].[City].[All]" allUniqueName="[Location_Detail].[City].[All]" dimensionUniqueName="[Location_Detail]" displayFolder="" count="0" memberValueDatatype="130" unbalanced="0"/>
    <cacheHierarchy uniqueName="[Location_Detail].[Latitude]" caption="Latitude" attribute="1" defaultMemberUniqueName="[Location_Detail].[Latitude].[All]" allUniqueName="[Location_Detail].[Latitude].[All]" dimensionUniqueName="[Location_Detail]" displayFolder="" count="0" memberValueDatatype="20" unbalanced="0"/>
    <cacheHierarchy uniqueName="[Location_Detail].[Longitude]" caption="Longitude" attribute="1" defaultMemberUniqueName="[Location_Detail].[Longitude].[All]" allUniqueName="[Location_Detail].[Longitude].[All]" dimensionUniqueName="[Location_Detail]" displayFolder="" count="0" memberValueDatatype="20" unbalanced="0"/>
    <cacheHierarchy uniqueName="[Transaction_All].[Order ID]" caption="Order ID" attribute="1" defaultMemberUniqueName="[Transaction_All].[Order ID].[All]" allUniqueName="[Transaction_All].[Order ID].[All]" dimensionUniqueName="[Transaction_All]" displayFolder="" count="0" memberValueDatatype="130" unbalanced="0"/>
    <cacheHierarchy uniqueName="[Transaction_All].[Date]" caption="Date" attribute="1" defaultMemberUniqueName="[Transaction_All].[Date].[All]" allUniqueName="[Transaction_All].[Date].[All]" dimensionUniqueName="[Transaction_All]" displayFolder="" count="0" memberValueDatatype="130" unbalanced="0"/>
    <cacheHierarchy uniqueName="[Transaction_All].[Month]" caption="Month" attribute="1" defaultMemberUniqueName="[Transaction_All].[Month].[All]" allUniqueName="[Transaction_All].[Month].[All]" dimensionUniqueName="[Transaction_All]" displayFolder="" count="0" memberValueDatatype="130" unbalanced="0"/>
    <cacheHierarchy uniqueName="[Transaction_All].[Day]" caption="Day" attribute="1" defaultMemberUniqueName="[Transaction_All].[Day].[All]" allUniqueName="[Transaction_All].[Day].[All]" dimensionUniqueName="[Transaction_All]" displayFolder="" count="0" memberValueDatatype="130" unbalanced="0"/>
    <cacheHierarchy uniqueName="[Transaction_All].[Product]" caption="Product" attribute="1" defaultMemberUniqueName="[Transaction_All].[Product].[All]" allUniqueName="[Transaction_All].[Product].[All]" dimensionUniqueName="[Transaction_All]" displayFolder="" count="0" memberValueDatatype="130" unbalanced="0"/>
    <cacheHierarchy uniqueName="[Transaction_All].[Category]" caption="Category" attribute="1" defaultMemberUniqueName="[Transaction_All].[Category].[All]" allUniqueName="[Transaction_All].[Category].[All]" dimensionUniqueName="[Transaction_All]" displayFolder="" count="0" memberValueDatatype="130" unbalanced="0"/>
    <cacheHierarchy uniqueName="[Transaction_All].[Price]" caption="Price" attribute="1" defaultMemberUniqueName="[Transaction_All].[Price].[All]" allUniqueName="[Transaction_All].[Price].[All]" dimensionUniqueName="[Transaction_All]" displayFolder="" count="0" memberValueDatatype="20" unbalanced="0"/>
    <cacheHierarchy uniqueName="[Transaction_All].[Quantity]" caption="Quantity" attribute="1" defaultMemberUniqueName="[Transaction_All].[Quantity].[All]" allUniqueName="[Transaction_All].[Quantity].[All]" dimensionUniqueName="[Transaction_All]" displayFolder="" count="0" memberValueDatatype="20" unbalanced="0"/>
    <cacheHierarchy uniqueName="[Transaction_All].[Total Sales]" caption="Total Sales" attribute="1" defaultMemberUniqueName="[Transaction_All].[Total Sales].[All]" allUniqueName="[Transaction_All].[Total Sales].[All]" dimensionUniqueName="[Transaction_All]" displayFolder="" count="0" memberValueDatatype="20" unbalanced="0"/>
    <cacheHierarchy uniqueName="[Transaction_All].[Customer Name]" caption="Customer Name" attribute="1" defaultMemberUniqueName="[Transaction_All].[Customer Name].[All]" allUniqueName="[Transaction_All].[Customer Name].[All]" dimensionUniqueName="[Transaction_All]" displayFolder="" count="0" memberValueDatatype="130" unbalanced="0"/>
    <cacheHierarchy uniqueName="[Transaction_All].[Customer Location]" caption="Customer Location" attribute="1" defaultMemberUniqueName="[Transaction_All].[Customer Location].[All]" allUniqueName="[Transaction_All].[Customer Location].[All]" dimensionUniqueName="[Transaction_All]" displayFolder="" count="0" memberValueDatatype="130" unbalanced="0"/>
    <cacheHierarchy uniqueName="[Transaction_All].[Payment Method]" caption="Payment Method" attribute="1" defaultMemberUniqueName="[Transaction_All].[Payment Method].[All]" allUniqueName="[Transaction_All].[Payment Method].[All]" dimensionUniqueName="[Transaction_All]" displayFolder="" count="0" memberValueDatatype="130" unbalanced="0"/>
    <cacheHierarchy uniqueName="[Transaction_All].[Status]" caption="Status" attribute="1" defaultMemberUniqueName="[Transaction_All].[Status].[All]" allUniqueName="[Transaction_All].[Status].[All]" dimensionUniqueName="[Transaction_All]" displayFolder="" count="0" memberValueDatatype="130" unbalanced="0"/>
    <cacheHierarchy uniqueName="[Transaction_Final].[Order ID]" caption="Order ID" attribute="1" defaultMemberUniqueName="[Transaction_Final].[Order ID].[All]" allUniqueName="[Transaction_Final].[Order ID].[All]" dimensionUniqueName="[Transaction_Final]" displayFolder="" count="0" memberValueDatatype="130" unbalanced="0"/>
    <cacheHierarchy uniqueName="[Transaction_Final].[Date]" caption="Date" attribute="1" defaultMemberUniqueName="[Transaction_Final].[Date].[All]" allUniqueName="[Transaction_Final].[Date].[All]" dimensionUniqueName="[Transaction_Final]" displayFolder="" count="0" memberValueDatatype="130" unbalanced="0"/>
    <cacheHierarchy uniqueName="[Transaction_Final].[Month]" caption="Month" attribute="1" defaultMemberUniqueName="[Transaction_Final].[Month].[All]" allUniqueName="[Transaction_Final].[Month].[All]" dimensionUniqueName="[Transaction_Final]" displayFolder="" count="0" memberValueDatatype="130" unbalanced="0"/>
    <cacheHierarchy uniqueName="[Transaction_Final].[Day]" caption="Day" attribute="1" defaultMemberUniqueName="[Transaction_Final].[Day].[All]" allUniqueName="[Transaction_Final].[Day].[All]" dimensionUniqueName="[Transaction_Final]" displayFolder="" count="0" memberValueDatatype="130" unbalanced="0"/>
    <cacheHierarchy uniqueName="[Transaction_Final].[Product]" caption="Product" attribute="1" defaultMemberUniqueName="[Transaction_Final].[Product].[All]" allUniqueName="[Transaction_Final].[Product].[All]" dimensionUniqueName="[Transaction_Final]" displayFolder="" count="0" memberValueDatatype="130" unbalanced="0"/>
    <cacheHierarchy uniqueName="[Transaction_Final].[Category]" caption="Category" attribute="1" defaultMemberUniqueName="[Transaction_Final].[Category].[All]" allUniqueName="[Transaction_Final].[Category].[All]" dimensionUniqueName="[Transaction_Final]" displayFolder="" count="0" memberValueDatatype="130" unbalanced="0"/>
    <cacheHierarchy uniqueName="[Transaction_Final].[Price]" caption="Price" attribute="1" defaultMemberUniqueName="[Transaction_Final].[Price].[All]" allUniqueName="[Transaction_Final].[Price].[All]" dimensionUniqueName="[Transaction_Final]" displayFolder="" count="0" memberValueDatatype="20" unbalanced="0"/>
    <cacheHierarchy uniqueName="[Transaction_Final].[Quantity]" caption="Quantity" attribute="1" defaultMemberUniqueName="[Transaction_Final].[Quantity].[All]" allUniqueName="[Transaction_Final].[Quantity].[All]" dimensionUniqueName="[Transaction_Final]" displayFolder="" count="0" memberValueDatatype="20" unbalanced="0"/>
    <cacheHierarchy uniqueName="[Transaction_Final].[Total Sales]" caption="Total Sales" attribute="1" defaultMemberUniqueName="[Transaction_Final].[Total Sales].[All]" allUniqueName="[Transaction_Final].[Total Sales].[All]" dimensionUniqueName="[Transaction_Final]" displayFolder="" count="0" memberValueDatatype="20" unbalanced="0"/>
    <cacheHierarchy uniqueName="[Transaction_Final].[Customer Name]" caption="Customer Name" attribute="1" defaultMemberUniqueName="[Transaction_Final].[Customer Name].[All]" allUniqueName="[Transaction_Final].[Customer Name].[All]" dimensionUniqueName="[Transaction_Final]" displayFolder="" count="0" memberValueDatatype="130" unbalanced="0"/>
    <cacheHierarchy uniqueName="[Transaction_Final].[Location]" caption="Location" attribute="1" defaultMemberUniqueName="[Transaction_Final].[Location].[All]" allUniqueName="[Transaction_Final].[Location].[All]" dimensionUniqueName="[Transaction_Final]" displayFolder="" count="0" memberValueDatatype="130" unbalanced="0"/>
    <cacheHierarchy uniqueName="[Transaction_Final].[State]" caption="State" attribute="1" defaultMemberUniqueName="[Transaction_Final].[State].[All]" allUniqueName="[Transaction_Final].[State].[All]" dimensionUniqueName="[Transaction_Final]" displayFolder="" count="0" memberValueDatatype="130" unbalanced="0"/>
    <cacheHierarchy uniqueName="[Transaction_Final].[Country]" caption="Country" attribute="1" defaultMemberUniqueName="[Transaction_Final].[Country].[All]" allUniqueName="[Transaction_Final].[Country].[All]" dimensionUniqueName="[Transaction_Final]" displayFolder="" count="0" memberValueDatatype="130" unbalanced="0"/>
    <cacheHierarchy uniqueName="[Transaction_Final].[Latitude]" caption="Latitude" attribute="1" defaultMemberUniqueName="[Transaction_Final].[Latitude].[All]" allUniqueName="[Transaction_Final].[Latitude].[All]" dimensionUniqueName="[Transaction_Final]" displayFolder="" count="0" memberValueDatatype="20" unbalanced="0"/>
    <cacheHierarchy uniqueName="[Transaction_Final].[Longitude]" caption="Longitude" attribute="1" defaultMemberUniqueName="[Transaction_Final].[Longitude].[All]" allUniqueName="[Transaction_Final].[Longitude].[All]" dimensionUniqueName="[Transaction_Final]" displayFolder="" count="0" memberValueDatatype="20" unbalanced="0"/>
    <cacheHierarchy uniqueName="[Transaction_Final].[Full Location]" caption="Full Location" attribute="1" defaultMemberUniqueName="[Transaction_Final].[Full Location].[All]" allUniqueName="[Transaction_Final].[Full Location].[All]" dimensionUniqueName="[Transaction_Final]" displayFolder="" count="0" memberValueDatatype="130" unbalanced="0"/>
    <cacheHierarchy uniqueName="[Transaction_Final].[Payment Method]" caption="Payment Method" attribute="1" defaultMemberUniqueName="[Transaction_Final].[Payment Method].[All]" allUniqueName="[Transaction_Final].[Payment Method].[All]" dimensionUniqueName="[Transaction_Final]" displayFolder="" count="0" memberValueDatatype="130" unbalanced="0"/>
    <cacheHierarchy uniqueName="[Transaction_Final].[Status]" caption="Status" attribute="1" defaultMemberUniqueName="[Transaction_Final].[Status].[All]" allUniqueName="[Transaction_Final].[Status].[All]" dimensionUniqueName="[Transaction_Final]" displayFolder="" count="0" memberValueDatatype="130" unbalanced="0"/>
    <cacheHierarchy uniqueName="[Transaction_Success].[Order ID]" caption="Order ID" attribute="1" defaultMemberUniqueName="[Transaction_Success].[Order ID].[All]" allUniqueName="[Transaction_Success].[Order ID].[All]" dimensionUniqueName="[Transaction_Success]" displayFolder="" count="0" memberValueDatatype="130" unbalanced="0"/>
    <cacheHierarchy uniqueName="[Transaction_Success].[Date]" caption="Date" attribute="1" defaultMemberUniqueName="[Transaction_Success].[Date].[All]" allUniqueName="[Transaction_Success].[Date].[All]" dimensionUniqueName="[Transaction_Success]" displayFolder="" count="0" memberValueDatatype="130" unbalanced="0"/>
    <cacheHierarchy uniqueName="[Transaction_Success].[Month]" caption="Month" attribute="1" defaultMemberUniqueName="[Transaction_Success].[Month].[All]" allUniqueName="[Transaction_Success].[Month].[All]" dimensionUniqueName="[Transaction_Success]" displayFolder="" count="0" memberValueDatatype="130" unbalanced="0"/>
    <cacheHierarchy uniqueName="[Transaction_Success].[Day]" caption="Day" attribute="1" defaultMemberUniqueName="[Transaction_Success].[Day].[All]" allUniqueName="[Transaction_Success].[Day].[All]" dimensionUniqueName="[Transaction_Success]" displayFolder="" count="0" memberValueDatatype="130" unbalanced="0"/>
    <cacheHierarchy uniqueName="[Transaction_Success].[Product]" caption="Product" attribute="1" defaultMemberUniqueName="[Transaction_Success].[Product].[All]" allUniqueName="[Transaction_Success].[Product].[All]" dimensionUniqueName="[Transaction_Success]" displayFolder="" count="0" memberValueDatatype="130" unbalanced="0"/>
    <cacheHierarchy uniqueName="[Transaction_Success].[Category]" caption="Category" attribute="1" defaultMemberUniqueName="[Transaction_Success].[Category].[All]" allUniqueName="[Transaction_Success].[Category].[All]" dimensionUniqueName="[Transaction_Success]" displayFolder="" count="0" memberValueDatatype="130" unbalanced="0"/>
    <cacheHierarchy uniqueName="[Transaction_Success].[Price]" caption="Price" attribute="1" defaultMemberUniqueName="[Transaction_Success].[Price].[All]" allUniqueName="[Transaction_Success].[Price].[All]" dimensionUniqueName="[Transaction_Success]" displayFolder="" count="0" memberValueDatatype="20" unbalanced="0"/>
    <cacheHierarchy uniqueName="[Transaction_Success].[Quantity]" caption="Quantity" attribute="1" defaultMemberUniqueName="[Transaction_Success].[Quantity].[All]" allUniqueName="[Transaction_Success].[Quantity].[All]" dimensionUniqueName="[Transaction_Success]" displayFolder="" count="0" memberValueDatatype="20" unbalanced="0"/>
    <cacheHierarchy uniqueName="[Transaction_Success].[Total Sales]" caption="Total Sales" attribute="1" defaultMemberUniqueName="[Transaction_Success].[Total Sales].[All]" allUniqueName="[Transaction_Success].[Total Sales].[All]" dimensionUniqueName="[Transaction_Success]" displayFolder="" count="0" memberValueDatatype="20" unbalanced="0"/>
    <cacheHierarchy uniqueName="[Transaction_Success].[Customer Name]" caption="Customer Name" attribute="1" defaultMemberUniqueName="[Transaction_Success].[Customer Name].[All]" allUniqueName="[Transaction_Success].[Customer Name].[All]" dimensionUniqueName="[Transaction_Success]" displayFolder="" count="0" memberValueDatatype="130" unbalanced="0"/>
    <cacheHierarchy uniqueName="[Transaction_Success].[Location]" caption="Location" attribute="1" defaultMemberUniqueName="[Transaction_Success].[Location].[All]" allUniqueName="[Transaction_Success].[Location].[All]" dimensionUniqueName="[Transaction_Success]" displayFolder="" count="0" memberValueDatatype="130" unbalanced="0"/>
    <cacheHierarchy uniqueName="[Transaction_Success].[Full Location]" caption="Full Location" attribute="1" defaultMemberUniqueName="[Transaction_Success].[Full Location].[All]" allUniqueName="[Transaction_Success].[Full Location].[All]" dimensionUniqueName="[Transaction_Success]" displayFolder="" count="0" memberValueDatatype="130" unbalanced="0"/>
    <cacheHierarchy uniqueName="[Transaction_Success].[Payment Method]" caption="Payment Method" attribute="1" defaultMemberUniqueName="[Transaction_Success].[Payment Method].[All]" allUniqueName="[Transaction_Success].[Payment Method].[All]" dimensionUniqueName="[Transaction_Success]" displayFolder="" count="0" memberValueDatatype="130" unbalanced="0"/>
    <cacheHierarchy uniqueName="[Transaction_Success].[Status]" caption="Status" attribute="1" defaultMemberUniqueName="[Transaction_Success].[Status].[All]" allUniqueName="[Transaction_Success].[Status].[All]" dimensionUniqueName="[Transaction_Success]" displayFolder="" count="0" memberValueDatatype="130" unbalanced="0"/>
    <cacheHierarchy uniqueName="[Measures].[__XL_Count Transaction_All]" caption="__XL_Count Transaction_All" measure="1" displayFolder="" measureGroup="Transaction_All" count="0" hidden="1"/>
    <cacheHierarchy uniqueName="[Measures].[__XL_Count Transaction_Success]" caption="__XL_Count Transaction_Success" measure="1" displayFolder="" measureGroup="Transaction_Success" count="0" hidden="1"/>
    <cacheHierarchy uniqueName="[Measures].[__XL_Count Location_Detail]" caption="__XL_Count Location_Detail" measure="1" displayFolder="" measureGroup="Location_Detail" count="0" hidden="1"/>
    <cacheHierarchy uniqueName="[Measures].[__XL_Count Transaction_Final]" caption="__XL_Count Transaction_Final" measure="1" displayFolder="" measureGroup="Transaction_Final" count="0" hidden="1"/>
    <cacheHierarchy uniqueName="[Measures].[__No measures defined]" caption="__No measures defined" measure="1" displayFolder="" count="0" hidden="1"/>
    <cacheHierarchy uniqueName="[Measures].[Sum of Total Sales]" caption="Sum of Total Sales" measure="1" displayFolder="" measureGroup="Transaction_Success" count="0" hidden="1">
      <extLst>
        <ext xmlns:x15="http://schemas.microsoft.com/office/spreadsheetml/2010/11/main" uri="{B97F6D7D-B522-45F9-BDA1-12C45D357490}">
          <x15:cacheHierarchy aggregatedColumn="44"/>
        </ext>
      </extLst>
    </cacheHierarchy>
    <cacheHierarchy uniqueName="[Measures].[Sum of Quantity]" caption="Sum of Quantity" measure="1" displayFolder="" measureGroup="Transaction_Success" count="0" hidden="1">
      <extLst>
        <ext xmlns:x15="http://schemas.microsoft.com/office/spreadsheetml/2010/11/main" uri="{B97F6D7D-B522-45F9-BDA1-12C45D357490}">
          <x15:cacheHierarchy aggregatedColumn="43"/>
        </ext>
      </extLst>
    </cacheHierarchy>
    <cacheHierarchy uniqueName="[Measures].[Count of Order ID]" caption="Count of Order ID" measure="1" displayFolder="" measureGroup="Transaction_Success" count="0" hidden="1">
      <extLst>
        <ext xmlns:x15="http://schemas.microsoft.com/office/spreadsheetml/2010/11/main" uri="{B97F6D7D-B522-45F9-BDA1-12C45D357490}">
          <x15:cacheHierarchy aggregatedColumn="36"/>
        </ext>
      </extLst>
    </cacheHierarchy>
    <cacheHierarchy uniqueName="[Measures].[Sum of Total Sales 3]" caption="Sum of Total Sales 3" measure="1" displayFolder="" measureGroup="Transaction_Final" count="0" hidden="1">
      <extLst>
        <ext xmlns:x15="http://schemas.microsoft.com/office/spreadsheetml/2010/11/main" uri="{B97F6D7D-B522-45F9-BDA1-12C45D357490}">
          <x15:cacheHierarchy aggregatedColumn="26"/>
        </ext>
      </extLst>
    </cacheHierarchy>
    <cacheHierarchy uniqueName="[Measures].[Count of Order ID 2]" caption="Count of Order ID 2" measure="1" displayFolder="" measureGroup="Transaction_Final" count="0" hidden="1">
      <extLst>
        <ext xmlns:x15="http://schemas.microsoft.com/office/spreadsheetml/2010/11/main" uri="{B97F6D7D-B522-45F9-BDA1-12C45D357490}">
          <x15:cacheHierarchy aggregatedColumn="18"/>
        </ext>
      </extLst>
    </cacheHierarchy>
  </cacheHierarchies>
  <kpis count="0"/>
  <dimensions count="5">
    <dimension name="Location_Detail" uniqueName="[Location_Detail]" caption="Location_Detail"/>
    <dimension measure="1" name="Measures" uniqueName="[Measures]" caption="Measures"/>
    <dimension name="Transaction_All" uniqueName="[Transaction_All]" caption="Transaction_All"/>
    <dimension name="Transaction_Final" uniqueName="[Transaction_Final]" caption="Transaction_Final"/>
    <dimension name="Transaction_Success" uniqueName="[Transaction_Success]" caption="Transaction_Success"/>
  </dimensions>
  <measureGroups count="4">
    <measureGroup name="Location_Detail" caption="Location_Detail"/>
    <measureGroup name="Transaction_All" caption="Transaction_All"/>
    <measureGroup name="Transaction_Final" caption="Transaction_Final"/>
    <measureGroup name="Transaction_Success" caption="Transaction_Succes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licerData="1" pivotCacheId="182433499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EAB02-2ADA-41A7-9F83-4265305CD852}" name="PivotTable10" cacheId="37" applyNumberFormats="0" applyBorderFormats="0" applyFontFormats="0" applyPatternFormats="0" applyAlignmentFormats="0" applyWidthHeightFormats="1" dataCaption="Values" tag="6840f3ea-6483-401f-8a14-a041290c5cab" updatedVersion="8" minRefreshableVersion="3" useAutoFormatting="1" itemPrintTitles="1" createdVersion="8" indent="0" compact="0" compactData="0" multipleFieldFilters="0">
  <location ref="B36:C37" firstHeaderRow="0" firstDataRow="1" firstDataCol="0"/>
  <pivotFields count="2">
    <pivotField dataField="1" compact="0" outline="0" subtotalTop="0" showAll="0" defaultSubtotal="0"/>
    <pivotField dataField="1" compact="0" outline="0" subtotalTop="0" showAll="0" defaultSubtotal="0"/>
  </pivotFields>
  <rowItems count="1">
    <i/>
  </rowItems>
  <colFields count="1">
    <field x="-2"/>
  </colFields>
  <colItems count="2">
    <i>
      <x/>
    </i>
    <i i="1">
      <x v="1"/>
    </i>
  </colItems>
  <dataFields count="2">
    <dataField name="Sum of Total Sales" fld="0" baseField="0" baseItem="0"/>
    <dataField name="Count of Order ID" fld="1" subtotal="count" baseField="0" baseItem="0"/>
  </dataFields>
  <formats count="3">
    <format dxfId="4">
      <pivotArea type="all" dataOnly="0" outline="0" fieldPosition="0"/>
    </format>
    <format dxfId="3">
      <pivotArea outline="0" collapsedLevelsAreSubtotals="1" fieldPosition="0"/>
    </format>
    <format dxfId="2">
      <pivotArea dataOnly="0" labelOnly="1" outline="0" fieldPosition="0">
        <references count="1">
          <reference field="4294967294" count="2">
            <x v="0"/>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2711C-4318-4844-9895-56C421A39591}" name="PivotTable9" cacheId="36" applyNumberFormats="0" applyBorderFormats="0" applyFontFormats="0" applyPatternFormats="0" applyAlignmentFormats="0" applyWidthHeightFormats="1" dataCaption="Values" tag="bd44b2de-f403-4f28-a9a3-066d868f9749" updatedVersion="8" minRefreshableVersion="3" useAutoFormatting="1" itemPrintTitles="1" createdVersion="8" indent="0" outline="1" outlineData="1" multipleFieldFilters="0" rowHeaderCaption="Day">
  <location ref="N20:P28"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8">
    <i>
      <x v="3"/>
    </i>
    <i>
      <x v="1"/>
    </i>
    <i>
      <x v="6"/>
    </i>
    <i>
      <x v="4"/>
    </i>
    <i>
      <x v="5"/>
    </i>
    <i>
      <x/>
    </i>
    <i>
      <x v="2"/>
    </i>
    <i t="grand">
      <x/>
    </i>
  </rowItems>
  <colFields count="1">
    <field x="-2"/>
  </colFields>
  <colItems count="2">
    <i>
      <x/>
    </i>
    <i i="1">
      <x v="1"/>
    </i>
  </colItems>
  <dataFields count="2">
    <dataField name="Sum of Total Sales" fld="1" baseField="0" baseItem="0" numFmtId="164"/>
    <dataField name="Count of Order ID" fld="2" subtotal="count" baseField="0" baseItem="0"/>
  </dataFields>
  <formats count="7">
    <format dxfId="99">
      <pivotArea outline="0" collapsedLevelsAreSubtotals="1" fieldPosition="0">
        <references count="1">
          <reference field="4294967294" count="1" selected="0">
            <x v="0"/>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A1679-52C8-4D87-B88B-F11E86F0EF7E}" name="PivotTable8" cacheId="35" applyNumberFormats="0" applyBorderFormats="0" applyFontFormats="0" applyPatternFormats="0" applyAlignmentFormats="0" applyWidthHeightFormats="1" dataCaption="Values" tag="39361904-3989-47f7-bff6-a78a4dd47994" updatedVersion="8" minRefreshableVersion="3" useAutoFormatting="1" itemPrintTitles="1" createdVersion="8" indent="0" outline="1" outlineData="1" multipleFieldFilters="0" chartFormat="14">
  <location ref="N4:O15"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6"/>
    </i>
    <i>
      <x v="3"/>
    </i>
    <i>
      <x v="8"/>
    </i>
    <i>
      <x v="5"/>
    </i>
    <i>
      <x v="2"/>
    </i>
    <i>
      <x v="4"/>
    </i>
    <i>
      <x v="1"/>
    </i>
    <i>
      <x/>
    </i>
    <i>
      <x v="9"/>
    </i>
    <i t="grand">
      <x/>
    </i>
  </rowItems>
  <colItems count="1">
    <i/>
  </colItems>
  <dataFields count="1">
    <dataField name="Sum of Quantity" fld="1" baseField="0" baseItem="0"/>
  </dataFields>
  <formats count="8">
    <format dxfId="95">
      <pivotArea field="0" type="button" dataOnly="0" labelOnly="1" outline="0" axis="axisRow" fieldPosition="0"/>
    </format>
    <format dxfId="92">
      <pivotArea dataOnly="0" labelOnly="1" outline="0" axis="axisValues" fieldPosition="0"/>
    </format>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0650A-AF13-4C78-A6F6-809AD106C694}" name="PivotTable7" cacheId="34" applyNumberFormats="0" applyBorderFormats="0" applyFontFormats="0" applyPatternFormats="0" applyAlignmentFormats="0" applyWidthHeightFormats="1" dataCaption="Values" tag="8e56503b-483a-46d7-8c11-923ba89dd66b" updatedVersion="8" minRefreshableVersion="3" useAutoFormatting="1" itemPrintTitles="1" createdVersion="8" indent="0" outline="1" outlineData="1" multipleFieldFilters="0" chartFormat="17">
  <location ref="K20:L26"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1"/>
    </i>
    <i>
      <x v="2"/>
    </i>
    <i>
      <x v="3"/>
    </i>
    <i t="grand">
      <x/>
    </i>
  </rowItems>
  <colItems count="1">
    <i/>
  </colItems>
  <dataFields count="1">
    <dataField name="Sum of Total Sales" fld="1" baseField="0" baseItem="0"/>
  </dataFields>
  <formats count="8">
    <format dxfId="100">
      <pivotArea collapsedLevelsAreSubtotals="1" fieldPosition="0">
        <references count="1">
          <reference field="0" count="0"/>
        </references>
      </pivotArea>
    </format>
    <format dxfId="101">
      <pivotArea collapsedLevelsAreSubtotals="1" fieldPosition="0">
        <references count="1">
          <reference field="0" count="0"/>
        </references>
      </pivotArea>
    </format>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0" count="1" selected="0">
            <x v="4"/>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3" format="10">
      <pivotArea type="data" outline="0" fieldPosition="0">
        <references count="2">
          <reference field="4294967294" count="1" selected="0">
            <x v="0"/>
          </reference>
          <reference field="0" count="1" selected="0">
            <x v="1"/>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 chart="13" format="12">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0AD2C-CF3E-48B7-AF4F-078A374B7783}" name="PivotTable5" cacheId="33" applyNumberFormats="0" applyBorderFormats="0" applyFontFormats="0" applyPatternFormats="0" applyAlignmentFormats="0" applyWidthHeightFormats="1" dataCaption="Values" tag="84b0b861-e473-4ea0-bb8e-414cbc11ce88" updatedVersion="8" minRefreshableVersion="3" useAutoFormatting="1" itemPrintTitles="1" createdVersion="8" indent="0" outline="1" outlineData="1" multipleFieldFilters="0" chartFormat="1" rowHeaderCaption="Method">
  <location ref="H20:I26"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i>
    <i>
      <x v="2"/>
    </i>
    <i>
      <x v="1"/>
    </i>
    <i>
      <x v="3"/>
    </i>
    <i t="grand">
      <x/>
    </i>
  </rowItems>
  <colItems count="1">
    <i/>
  </colItems>
  <dataFields count="1">
    <dataField name="Sum of Quantity" fld="0" baseField="0" baseItem="0"/>
  </dataFields>
  <formats count="6">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0"/>
        </references>
      </pivotArea>
    </format>
    <format dxfId="22">
      <pivotArea dataOnly="0" labelOnly="1" grandRow="1" outline="0" fieldPosition="0"/>
    </format>
    <format dxfId="21">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203A11-0EA3-4206-BF7E-53F2CC264578}"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31"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7"/>
    </i>
    <i>
      <x v="6"/>
    </i>
    <i>
      <x v="8"/>
    </i>
    <i>
      <x v="3"/>
    </i>
    <i>
      <x v="9"/>
    </i>
    <i>
      <x v="5"/>
    </i>
    <i>
      <x/>
    </i>
    <i>
      <x v="1"/>
    </i>
    <i>
      <x v="2"/>
    </i>
    <i t="grand">
      <x/>
    </i>
  </rowItems>
  <colItems count="1">
    <i/>
  </colItems>
  <dataFields count="1">
    <dataField name="Sum of Quantity" fld="1" baseField="0" baseItem="0"/>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FAACC7-16FB-42D2-A50C-EA8FE4E5FA81}"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C31" firstHeaderRow="1" firstDataRow="1" firstDataCol="1"/>
  <pivotFields count="2">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6"/>
    </i>
    <i>
      <x v="8"/>
    </i>
    <i>
      <x v="7"/>
    </i>
    <i>
      <x v="3"/>
    </i>
    <i>
      <x v="5"/>
    </i>
    <i>
      <x v="2"/>
    </i>
    <i>
      <x v="9"/>
    </i>
    <i>
      <x v="1"/>
    </i>
    <i>
      <x/>
    </i>
    <i t="grand">
      <x/>
    </i>
  </rowItems>
  <colItems count="1">
    <i/>
  </colItems>
  <dataFields count="1">
    <dataField name="Sum of Total Sales" fld="0" baseField="0" baseItem="0"/>
  </dataFields>
  <formats count="6">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C840B9-DC52-4FFC-842D-E0311E39443E}" name="PivotTable3" cacheId="29" applyNumberFormats="0" applyBorderFormats="0" applyFontFormats="0" applyPatternFormats="0" applyAlignmentFormats="0" applyWidthHeightFormats="1" dataCaption="Values" tag="776beb11-559a-42bf-a7c3-1d91f97eeb75" updatedVersion="8" minRefreshableVersion="3" useAutoFormatting="1" subtotalHiddenItems="1" itemPrintTitles="1" createdVersion="8" indent="0" compact="0" compactData="0" multipleFieldFilters="0" rowHeaderCaption="Product">
  <location ref="I4:L15" firstHeaderRow="0" firstDataRow="1" firstDataCol="1"/>
  <pivotFields count="4">
    <pivotField dataField="1" compact="0" outline="0" subtotalTop="0" showAll="0" defaultSubtotal="0"/>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1">
    <i>
      <x v="6"/>
    </i>
    <i>
      <x v="7"/>
    </i>
    <i>
      <x v="5"/>
    </i>
    <i>
      <x v="8"/>
    </i>
    <i>
      <x v="3"/>
    </i>
    <i>
      <x v="4"/>
    </i>
    <i>
      <x v="1"/>
    </i>
    <i>
      <x v="2"/>
    </i>
    <i>
      <x/>
    </i>
    <i>
      <x v="9"/>
    </i>
    <i t="grand">
      <x/>
    </i>
  </rowItems>
  <colFields count="1">
    <field x="-2"/>
  </colFields>
  <colItems count="3">
    <i>
      <x/>
    </i>
    <i i="1">
      <x v="1"/>
    </i>
    <i i="2">
      <x v="2"/>
    </i>
  </colItems>
  <dataFields count="3">
    <dataField name="Sum of Total Sales" fld="0" baseField="0" baseItem="0"/>
    <dataField name="Count of Order ID" fld="2" subtotal="count" baseField="0" baseItem="0"/>
    <dataField name="Percentages" fld="3" showDataAs="percentOfTotal" baseField="1" baseItem="0" numFmtId="10">
      <extLst>
        <ext xmlns:x14="http://schemas.microsoft.com/office/spreadsheetml/2009/9/main" uri="{E15A36E0-9728-4e99-A89B-3F7291B0FE68}">
          <x14:dataField sourceField="0" uniqueName="[__Xl2].[Measures].[Sum of Total Sales]"/>
        </ext>
      </extLst>
    </dataField>
  </dataFields>
  <formats count="8">
    <format dxfId="90">
      <pivotArea field="1" type="button" dataOnly="0" labelOnly="1" outline="0" axis="axisRow" fieldPosition="0"/>
    </format>
    <format dxfId="88">
      <pivotArea dataOnly="0" labelOnly="1" outline="0" fieldPosition="0">
        <references count="1">
          <reference field="4294967294" count="3">
            <x v="0"/>
            <x v="1"/>
            <x v="2"/>
          </reference>
        </references>
      </pivotArea>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outline="0" fieldPosition="0">
        <references count="1">
          <reference field="1"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onditionalFormats count="2">
    <conditionalFormat type="all" priority="1">
      <pivotAreas count="1">
        <pivotArea type="data" outline="0" collapsedLevelsAreSubtotals="1" fieldPosition="0">
          <references count="2">
            <reference field="4294967294" count="1" selected="0">
              <x v="2"/>
            </reference>
            <reference field="1" count="10" selected="0">
              <x v="0"/>
              <x v="1"/>
              <x v="2"/>
              <x v="3"/>
              <x v="4"/>
              <x v="5"/>
              <x v="6"/>
              <x v="7"/>
              <x v="8"/>
              <x v="9"/>
            </reference>
          </references>
        </pivotArea>
      </pivotAreas>
    </conditionalFormat>
    <conditionalFormat type="all" priority="2">
      <pivotAreas count="1">
        <pivotArea type="data" outline="0" collapsedLevelsAreSubtotals="1" fieldPosition="0">
          <references count="2">
            <reference field="4294967294" count="1" selected="0">
              <x v="2"/>
            </reference>
            <reference field="1" count="10" selected="0">
              <x v="0"/>
              <x v="1"/>
              <x v="2"/>
              <x v="3"/>
              <x v="4"/>
              <x v="5"/>
              <x v="6"/>
              <x v="7"/>
              <x v="8"/>
              <x v="9"/>
            </reference>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Price"/>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9CB186-9049-4DDD-86B2-939CA1DCCB48}" name="PivotTable2" cacheId="27" applyNumberFormats="0" applyBorderFormats="0" applyFontFormats="0" applyPatternFormats="0" applyAlignmentFormats="0" applyWidthHeightFormats="1" dataCaption="Values" tag="3bcd3f06-7d60-4186-816c-5bde28f7191a" updatedVersion="8" minRefreshableVersion="3" useAutoFormatting="1" itemPrintTitles="1" createdVersion="8" indent="0" compact="0" compactData="0" multipleFieldFilters="0">
  <location ref="E4:G15" firstHeaderRow="1" firstDataRow="1" firstDataCol="2"/>
  <pivotFields count="3">
    <pivotField axis="axisRow" compact="0" allDrilled="1" outline="0" showAll="0" dataSourceSort="1" defaultSubtotal="0">
      <items count="8">
        <item x="0"/>
        <item x="1"/>
        <item x="2"/>
        <item x="3"/>
        <item x="4"/>
        <item x="5" e="0"/>
        <item x="6"/>
        <item x="7"/>
      </items>
    </pivotField>
    <pivotField dataField="1" compact="0" outline="0" subtotalTop="0" showAll="0" defaultSubtotal="0"/>
    <pivotField name="City" axis="axisRow" compact="0" allDrilled="1" outline="0" showAll="0" sortType="ascending" defaultSubtotal="0" defaultAttributeDrillState="1">
      <items count="9">
        <item x="5"/>
        <item x="4"/>
        <item x="6"/>
        <item x="2"/>
        <item x="7"/>
        <item x="0"/>
        <item x="3"/>
        <item x="1"/>
        <item x="8"/>
      </items>
    </pivotField>
  </pivotFields>
  <rowFields count="2">
    <field x="0"/>
    <field x="2"/>
  </rowFields>
  <rowItems count="11">
    <i>
      <x/>
      <x v="5"/>
    </i>
    <i r="1">
      <x v="7"/>
    </i>
    <i>
      <x v="1"/>
      <x v="3"/>
    </i>
    <i>
      <x v="2"/>
      <x v="6"/>
    </i>
    <i>
      <x v="3"/>
      <x v="1"/>
    </i>
    <i>
      <x v="4"/>
      <x/>
    </i>
    <i>
      <x v="5"/>
    </i>
    <i>
      <x v="6"/>
      <x v="2"/>
    </i>
    <i r="1">
      <x v="4"/>
    </i>
    <i>
      <x v="7"/>
      <x v="8"/>
    </i>
    <i t="grand">
      <x/>
    </i>
  </rowItems>
  <colItems count="1">
    <i/>
  </colItems>
  <dataFields count="1">
    <dataField name="Sum of Total Sales" fld="1" baseField="0" baseItem="0"/>
  </dataFields>
  <formats count="17">
    <format dxfId="86">
      <pivotArea field="0" type="button" dataOnly="0" labelOnly="1" outline="0" axis="axisRow" fieldPosition="0"/>
    </format>
    <format dxfId="84">
      <pivotArea field="2" type="button" dataOnly="0" labelOnly="1" outline="0" axis="axisRow" fieldPosition="1"/>
    </format>
    <format dxfId="81">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field="2" type="button" dataOnly="0" labelOnly="1" outline="0" axis="axisRow" fieldPosition="1"/>
    </format>
    <format dxfId="57">
      <pivotArea dataOnly="0" labelOnly="1" outline="0" fieldPosition="0">
        <references count="1">
          <reference field="0" count="0"/>
        </references>
      </pivotArea>
    </format>
    <format dxfId="56">
      <pivotArea dataOnly="0" labelOnly="1" grandRow="1" outline="0" fieldPosition="0"/>
    </format>
    <format dxfId="55">
      <pivotArea dataOnly="0" labelOnly="1" outline="0" fieldPosition="0">
        <references count="2">
          <reference field="0" count="1" selected="0">
            <x v="0"/>
          </reference>
          <reference field="2" count="2">
            <x v="5"/>
            <x v="7"/>
          </reference>
        </references>
      </pivotArea>
    </format>
    <format dxfId="54">
      <pivotArea dataOnly="0" labelOnly="1" outline="0" fieldPosition="0">
        <references count="2">
          <reference field="0" count="1" selected="0">
            <x v="1"/>
          </reference>
          <reference field="2" count="1">
            <x v="3"/>
          </reference>
        </references>
      </pivotArea>
    </format>
    <format dxfId="53">
      <pivotArea dataOnly="0" labelOnly="1" outline="0" fieldPosition="0">
        <references count="2">
          <reference field="0" count="1" selected="0">
            <x v="2"/>
          </reference>
          <reference field="2" count="1">
            <x v="6"/>
          </reference>
        </references>
      </pivotArea>
    </format>
    <format dxfId="52">
      <pivotArea dataOnly="0" labelOnly="1" outline="0" fieldPosition="0">
        <references count="2">
          <reference field="0" count="1" selected="0">
            <x v="3"/>
          </reference>
          <reference field="2" count="1">
            <x v="1"/>
          </reference>
        </references>
      </pivotArea>
    </format>
    <format dxfId="51">
      <pivotArea dataOnly="0" labelOnly="1" outline="0" fieldPosition="0">
        <references count="2">
          <reference field="0" count="1" selected="0">
            <x v="4"/>
          </reference>
          <reference field="2" count="1">
            <x v="0"/>
          </reference>
        </references>
      </pivotArea>
    </format>
    <format dxfId="50">
      <pivotArea dataOnly="0" labelOnly="1" outline="0" fieldPosition="0">
        <references count="2">
          <reference field="0" count="1" selected="0">
            <x v="6"/>
          </reference>
          <reference field="2" count="2">
            <x v="2"/>
            <x v="4"/>
          </reference>
        </references>
      </pivotArea>
    </format>
    <format dxfId="49">
      <pivotArea dataOnly="0" labelOnly="1" outline="0" fieldPosition="0">
        <references count="2">
          <reference field="0" count="1" selected="0">
            <x v="7"/>
          </reference>
          <reference field="2" count="1">
            <x v="8"/>
          </reference>
        </references>
      </pivotArea>
    </format>
    <format dxfId="48">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4F2841-EB37-4CF8-89E7-106411F9B321}"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C8" firstHeaderRow="1" firstDataRow="1" firstDataCol="1"/>
  <pivotFields count="2">
    <pivotField dataField="1" subtotalTop="0" showAll="0" defaultSubtotal="0"/>
    <pivotField axis="axisRow" allDrilled="1" subtotalTop="0" showAll="0" sortType="ascending" defaultSubtotal="0" defaultAttributeDrillState="1">
      <items count="3">
        <item x="1"/>
        <item x="2"/>
        <item x="0"/>
      </items>
    </pivotField>
  </pivotFields>
  <rowFields count="1">
    <field x="1"/>
  </rowFields>
  <rowItems count="4">
    <i>
      <x/>
    </i>
    <i>
      <x v="1"/>
    </i>
    <i>
      <x v="2"/>
    </i>
    <i t="grand">
      <x/>
    </i>
  </rowItems>
  <colItems count="1">
    <i/>
  </colItems>
  <dataFields count="1">
    <dataField name="Sum of Total Sales" fld="0" baseField="0" baseItem="0"/>
  </dataFields>
  <formats count="8">
    <format dxfId="79">
      <pivotArea field="1" type="button" dataOnly="0" labelOnly="1" outline="0" axis="axisRow" fieldPosition="0"/>
    </format>
    <format dxfId="76">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Succes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4406949-D371-4945-A7A5-A0EDE351429E}" autoFormatId="16" applyNumberFormats="0" applyBorderFormats="0" applyFontFormats="0" applyPatternFormats="0" applyAlignmentFormats="0" applyWidthHeightFormats="0">
  <queryTableRefresh nextId="27">
    <queryTableFields count="13">
      <queryTableField id="14" name="Order ID" tableColumnId="14"/>
      <queryTableField id="15" name="Date" tableColumnId="15"/>
      <queryTableField id="16" name="Month" tableColumnId="16"/>
      <queryTableField id="17" name="Day" tableColumnId="17"/>
      <queryTableField id="18" name="Product" tableColumnId="18"/>
      <queryTableField id="19" name="Category" tableColumnId="19"/>
      <queryTableField id="20" name="Price" tableColumnId="20"/>
      <queryTableField id="21" name="Quantity" tableColumnId="21"/>
      <queryTableField id="22" name="Total Sales" tableColumnId="22"/>
      <queryTableField id="23" name="Customer Name" tableColumnId="23"/>
      <queryTableField id="24" name="Customer Location" tableColumnId="24"/>
      <queryTableField id="25" name="Payment Method" tableColumnId="25"/>
      <queryTableField id="26" name="Status"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F3FF819-2B0D-417C-9B82-14136F1892D9}" sourceName="[Transaction_Success].[Location]">
  <data>
    <olap pivotCacheId="1824334993">
      <levels count="2">
        <level uniqueName="[Transaction_Success].[Location].[(All)]" sourceCaption="(All)" count="0"/>
        <level uniqueName="[Transaction_Success].[Location].[Location]" sourceCaption="Location" count="10">
          <ranges>
            <range startItem="0">
              <i n="[Transaction_Success].[Location].&amp;[Boston]" c="Boston"/>
              <i n="[Transaction_Success].[Location].&amp;[Chicago]" c="Chicago"/>
              <i n="[Transaction_Success].[Location].&amp;[Dallas]" c="Dallas"/>
              <i n="[Transaction_Success].[Location].&amp;[Denver]" c="Denver"/>
              <i n="[Transaction_Success].[Location].&amp;[Houston]" c="Houston"/>
              <i n="[Transaction_Success].[Location].&amp;[Los Angeles]" c="Los Angeles"/>
              <i n="[Transaction_Success].[Location].&amp;[Miami]" c="Miami"/>
              <i n="[Transaction_Success].[Location].&amp;[New York]" c="New York"/>
              <i n="[Transaction_Success].[Location].&amp;[San Francisco]" c="San Francisco"/>
              <i n="[Transaction_Success].[Location].&amp;[Seattle]" c="Seattle"/>
            </range>
          </ranges>
        </level>
      </levels>
      <selections count="1">
        <selection n="[Transaction_Success].[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909CA56A-AF8B-4B97-8982-55196BF8D3B1}" cache="Slicer_Location" caption="Location" startItem="5"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247CD0-B355-4154-A361-8487DA709EDC}" name="Table2" displayName="Table2" ref="E36:E37" totalsRowShown="0" headerRowDxfId="1" dataDxfId="5">
  <autoFilter ref="E36:E37" xr:uid="{7D247CD0-B355-4154-A361-8487DA709EDC}"/>
  <tableColumns count="1">
    <tableColumn id="1" xr3:uid="{8395E711-F253-462F-94AE-0FD8C6A0BAE6}" name="AOV" dataDxfId="0">
      <calculatedColumnFormula>GETPIVOTDATA("[Measures].[Sum of Total Sales 3]",$B$36)/GETPIVOTDATA("[Measures].[Count of Order ID 2]",$B$36)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0DF00-8B3B-46E6-9AE1-43C71B3A49AD}" name="Transaction_ALL__2" displayName="Transaction_ALL__2" ref="A1:M251" tableType="queryTable" totalsRowShown="0">
  <autoFilter ref="A1:M251" xr:uid="{BDD0DF00-8B3B-46E6-9AE1-43C71B3A49AD}"/>
  <sortState xmlns:xlrd2="http://schemas.microsoft.com/office/spreadsheetml/2017/richdata2" ref="A2:M251">
    <sortCondition descending="1" ref="B1:B251"/>
  </sortState>
  <tableColumns count="13">
    <tableColumn id="14" xr3:uid="{C28B61E1-6F98-4FE2-87AD-5CA6D1A65773}" uniqueName="14" name="Order ID" queryTableFieldId="14" dataDxfId="111"/>
    <tableColumn id="15" xr3:uid="{7F697EE3-E94F-48BF-9B1C-C50E4433668F}" uniqueName="15" name="Date" queryTableFieldId="15" dataDxfId="110"/>
    <tableColumn id="16" xr3:uid="{FB56B9CF-6CBC-40EF-84F0-A290FA604F54}" uniqueName="16" name="Month" queryTableFieldId="16" dataDxfId="109"/>
    <tableColumn id="17" xr3:uid="{35AB26B5-3220-47FF-BA95-AF5D509EA290}" uniqueName="17" name="Day" queryTableFieldId="17" dataDxfId="108"/>
    <tableColumn id="18" xr3:uid="{0F5BCCCC-7859-4CD6-AE30-B8B923EC5D8A}" uniqueName="18" name="Product" queryTableFieldId="18" dataDxfId="107"/>
    <tableColumn id="19" xr3:uid="{012701EF-DBA9-4EDD-B410-243BB3A16706}" uniqueName="19" name="Category" queryTableFieldId="19" dataDxfId="106"/>
    <tableColumn id="20" xr3:uid="{7155D948-A4AB-4ABA-9C65-86CF0B958D81}" uniqueName="20" name="Price" queryTableFieldId="20"/>
    <tableColumn id="21" xr3:uid="{F80F0237-34AC-4282-9D25-FE3FDA6B66F4}" uniqueName="21" name="Quantity" queryTableFieldId="21"/>
    <tableColumn id="22" xr3:uid="{BE4E78FB-2F2D-4D49-A39A-7085F5AB86EC}" uniqueName="22" name="Total Sales" queryTableFieldId="22"/>
    <tableColumn id="23" xr3:uid="{D0D161ED-A5BF-43DC-8AEE-FE2B61A4D32B}" uniqueName="23" name="Customer Name" queryTableFieldId="23" dataDxfId="105"/>
    <tableColumn id="24" xr3:uid="{B4868547-4CAA-463A-A506-F18EAD6200D7}" uniqueName="24" name="Customer Location" queryTableFieldId="24" dataDxfId="104"/>
    <tableColumn id="25" xr3:uid="{0363C507-F57D-43FA-A333-7C16D7D93ED0}" uniqueName="25" name="Payment Method" queryTableFieldId="25" dataDxfId="103"/>
    <tableColumn id="26" xr3:uid="{2CBD3AE7-6608-41C7-9B14-45A2BF670A75}" uniqueName="26" name="Status" queryTableFieldId="26" dataDxfId="1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ramayogas/DataAnalystProtfolio/tree/main/excel_consumer_trends_miami_paypal" TargetMode="Externa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6007-FDD3-4143-9983-400E323B2FE9}">
  <sheetPr>
    <pageSetUpPr fitToPage="1"/>
  </sheetPr>
  <dimension ref="B4:P43"/>
  <sheetViews>
    <sheetView showGridLines="0" zoomScale="67" zoomScaleNormal="80" workbookViewId="0">
      <selection activeCell="S29" sqref="S29"/>
    </sheetView>
  </sheetViews>
  <sheetFormatPr defaultRowHeight="15" x14ac:dyDescent="0.25"/>
  <cols>
    <col min="1" max="16384" width="9.140625" style="1"/>
  </cols>
  <sheetData>
    <row r="4" spans="2:16" ht="36" x14ac:dyDescent="0.55000000000000004">
      <c r="B4" s="13" t="s">
        <v>339</v>
      </c>
      <c r="C4" s="13"/>
      <c r="D4" s="13"/>
      <c r="E4" s="13"/>
      <c r="F4" s="13"/>
      <c r="G4" s="13"/>
      <c r="H4" s="13"/>
      <c r="I4" s="13"/>
      <c r="J4" s="13"/>
      <c r="K4" s="13"/>
      <c r="L4" s="13"/>
      <c r="M4" s="13"/>
      <c r="N4" s="13"/>
      <c r="O4" s="13"/>
      <c r="P4" s="13"/>
    </row>
    <row r="5" spans="2:16" s="3" customFormat="1" ht="24" customHeight="1" x14ac:dyDescent="0.25">
      <c r="B5" s="14" t="s">
        <v>340</v>
      </c>
      <c r="C5" s="14"/>
      <c r="D5" s="14"/>
      <c r="E5" s="14"/>
      <c r="F5" s="14"/>
      <c r="G5" s="14"/>
      <c r="H5" s="14"/>
      <c r="I5" s="14"/>
      <c r="J5" s="14"/>
      <c r="K5" s="14"/>
      <c r="L5" s="14"/>
      <c r="M5" s="14"/>
      <c r="N5" s="14"/>
      <c r="O5" s="14"/>
      <c r="P5" s="14"/>
    </row>
    <row r="7" spans="2:16" ht="18.75" x14ac:dyDescent="0.3">
      <c r="B7" s="9" t="s">
        <v>316</v>
      </c>
      <c r="C7" s="10"/>
      <c r="D7" s="10"/>
      <c r="E7" s="10"/>
      <c r="F7" s="11"/>
      <c r="G7" s="19" t="s">
        <v>329</v>
      </c>
      <c r="H7" s="10"/>
      <c r="I7" s="10"/>
      <c r="J7" s="10"/>
      <c r="K7" s="20"/>
      <c r="L7" s="9" t="s">
        <v>330</v>
      </c>
      <c r="M7" s="10"/>
      <c r="N7" s="10"/>
      <c r="O7" s="10"/>
      <c r="P7" s="11"/>
    </row>
    <row r="8" spans="2:16" ht="28.5" x14ac:dyDescent="0.45">
      <c r="B8" s="16" t="e">
        <f>GETPIVOTDATA("[Measures].[Sum of Total Sales 3]",#REF!)</f>
        <v>#REF!</v>
      </c>
      <c r="C8" s="17"/>
      <c r="D8" s="17"/>
      <c r="E8" s="17"/>
      <c r="F8" s="18"/>
      <c r="G8" s="21" t="e">
        <f>GETPIVOTDATA("[Measures].[Count of Order ID 2]",#REF!)</f>
        <v>#REF!</v>
      </c>
      <c r="H8" s="22"/>
      <c r="I8" s="22"/>
      <c r="J8" s="22"/>
      <c r="K8" s="23"/>
      <c r="L8" s="24" t="e">
        <f>#REF!</f>
        <v>#REF!</v>
      </c>
      <c r="M8" s="25"/>
      <c r="N8" s="25"/>
      <c r="O8" s="25"/>
      <c r="P8" s="26"/>
    </row>
    <row r="9" spans="2:16" ht="18.75" customHeight="1" x14ac:dyDescent="0.25">
      <c r="G9" s="15" t="s">
        <v>333</v>
      </c>
      <c r="H9" s="15"/>
      <c r="I9" s="15"/>
      <c r="J9" s="15"/>
      <c r="K9" s="15"/>
      <c r="L9" s="15"/>
      <c r="M9" s="15"/>
      <c r="N9" s="15"/>
      <c r="O9" s="15"/>
      <c r="P9" s="15"/>
    </row>
    <row r="10" spans="2:16" ht="28.5" customHeight="1" x14ac:dyDescent="0.25"/>
    <row r="28" spans="2:16" ht="18.75" x14ac:dyDescent="0.3">
      <c r="B28" s="9" t="s">
        <v>332</v>
      </c>
      <c r="C28" s="10"/>
      <c r="D28" s="10"/>
      <c r="E28" s="10"/>
      <c r="F28" s="11"/>
    </row>
    <row r="29" spans="2:16" ht="28.5" x14ac:dyDescent="0.45">
      <c r="B29" s="12" t="e">
        <f>#REF!</f>
        <v>#REF!</v>
      </c>
      <c r="C29" s="12"/>
      <c r="D29" s="12"/>
      <c r="E29" s="12"/>
      <c r="F29" s="12"/>
    </row>
    <row r="30" spans="2:16" ht="18.75" x14ac:dyDescent="0.3">
      <c r="L30" s="5" t="s">
        <v>334</v>
      </c>
      <c r="M30" s="6"/>
      <c r="N30" s="6"/>
      <c r="O30" s="6"/>
      <c r="P30" s="7"/>
    </row>
    <row r="31" spans="2:16" ht="28.5" customHeight="1" x14ac:dyDescent="0.25">
      <c r="L31" s="8" t="e">
        <f>#REF! &amp; CHAR(10) &amp;#REF! &amp; CHAR(10) &amp;#REF!</f>
        <v>#REF!</v>
      </c>
      <c r="M31" s="8"/>
      <c r="N31" s="8"/>
      <c r="O31" s="8"/>
      <c r="P31" s="8"/>
    </row>
    <row r="32" spans="2:16" ht="15" customHeight="1" x14ac:dyDescent="0.25">
      <c r="L32" s="8"/>
      <c r="M32" s="8"/>
      <c r="N32" s="8"/>
      <c r="O32" s="8"/>
      <c r="P32" s="8"/>
    </row>
    <row r="33" spans="12:16" ht="15" customHeight="1" x14ac:dyDescent="0.25">
      <c r="L33" s="8"/>
      <c r="M33" s="8"/>
      <c r="N33" s="8"/>
      <c r="O33" s="8"/>
      <c r="P33" s="8"/>
    </row>
    <row r="34" spans="12:16" ht="15" customHeight="1" x14ac:dyDescent="0.25">
      <c r="L34" s="8"/>
      <c r="M34" s="8"/>
      <c r="N34" s="8"/>
      <c r="O34" s="8"/>
      <c r="P34" s="8"/>
    </row>
    <row r="35" spans="12:16" ht="15" customHeight="1" x14ac:dyDescent="0.25">
      <c r="L35" s="8"/>
      <c r="M35" s="8"/>
      <c r="N35" s="8"/>
      <c r="O35" s="8"/>
      <c r="P35" s="8"/>
    </row>
    <row r="36" spans="12:16" ht="15" customHeight="1" x14ac:dyDescent="0.25">
      <c r="L36" s="8"/>
      <c r="M36" s="8"/>
      <c r="N36" s="8"/>
      <c r="O36" s="8"/>
      <c r="P36" s="8"/>
    </row>
    <row r="37" spans="12:16" ht="15" customHeight="1" x14ac:dyDescent="0.25">
      <c r="L37" s="8"/>
      <c r="M37" s="8"/>
      <c r="N37" s="8"/>
      <c r="O37" s="8"/>
      <c r="P37" s="8"/>
    </row>
    <row r="38" spans="12:16" ht="15" customHeight="1" x14ac:dyDescent="0.25">
      <c r="L38" s="8"/>
      <c r="M38" s="8"/>
      <c r="N38" s="8"/>
      <c r="O38" s="8"/>
      <c r="P38" s="8"/>
    </row>
    <row r="39" spans="12:16" ht="15" customHeight="1" x14ac:dyDescent="0.25">
      <c r="L39" s="8"/>
      <c r="M39" s="8"/>
      <c r="N39" s="8"/>
      <c r="O39" s="8"/>
      <c r="P39" s="8"/>
    </row>
    <row r="40" spans="12:16" x14ac:dyDescent="0.25">
      <c r="L40" s="8"/>
      <c r="M40" s="8"/>
      <c r="N40" s="8"/>
      <c r="O40" s="8"/>
      <c r="P40" s="8"/>
    </row>
    <row r="41" spans="12:16" x14ac:dyDescent="0.25">
      <c r="L41" s="8"/>
      <c r="M41" s="8"/>
      <c r="N41" s="8"/>
      <c r="O41" s="8"/>
      <c r="P41" s="8"/>
    </row>
    <row r="42" spans="12:16" ht="18.75" x14ac:dyDescent="0.3">
      <c r="L42" s="9" t="s">
        <v>335</v>
      </c>
      <c r="M42" s="10"/>
      <c r="N42" s="10"/>
      <c r="O42" s="10"/>
      <c r="P42" s="11"/>
    </row>
    <row r="43" spans="12:16" ht="28.5" x14ac:dyDescent="0.45">
      <c r="L43" s="12" t="e">
        <f>#REF!</f>
        <v>#REF!</v>
      </c>
      <c r="M43" s="12"/>
      <c r="N43" s="12"/>
      <c r="O43" s="12"/>
      <c r="P43" s="12"/>
    </row>
  </sheetData>
  <mergeCells count="15">
    <mergeCell ref="B4:P4"/>
    <mergeCell ref="B5:P5"/>
    <mergeCell ref="G9:P9"/>
    <mergeCell ref="B7:F7"/>
    <mergeCell ref="B8:F8"/>
    <mergeCell ref="G7:K7"/>
    <mergeCell ref="G8:K8"/>
    <mergeCell ref="L7:P7"/>
    <mergeCell ref="L8:P8"/>
    <mergeCell ref="L30:P30"/>
    <mergeCell ref="L31:P41"/>
    <mergeCell ref="L42:P42"/>
    <mergeCell ref="L43:P43"/>
    <mergeCell ref="B28:F28"/>
    <mergeCell ref="B29:F29"/>
  </mergeCells>
  <hyperlinks>
    <hyperlink ref="B5" r:id="rId1" xr:uid="{9898FD56-F9DA-49E0-99C5-F847EAC78FC3}"/>
  </hyperlinks>
  <pageMargins left="0.23622047244094491" right="0.23622047244094491" top="0.74803149606299213" bottom="0.74803149606299213" header="0.31496062992125984" footer="0.31496062992125984"/>
  <pageSetup scale="65" orientation="portrait" horizontalDpi="203" verticalDpi="203"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32EC-7159-47CD-BFD9-3687C0FF4578}">
  <dimension ref="A2:P38"/>
  <sheetViews>
    <sheetView showGridLines="0" tabSelected="1" zoomScale="70" zoomScaleNormal="70" workbookViewId="0">
      <selection activeCell="G34" sqref="G34"/>
    </sheetView>
  </sheetViews>
  <sheetFormatPr defaultRowHeight="15" x14ac:dyDescent="0.25"/>
  <cols>
    <col min="2" max="2" width="17.28515625" bestFit="1" customWidth="1"/>
    <col min="3" max="3" width="22.140625" bestFit="1" customWidth="1"/>
    <col min="5" max="5" width="25.42578125" bestFit="1" customWidth="1"/>
    <col min="6" max="6" width="15.42578125" bestFit="1" customWidth="1"/>
    <col min="7" max="7" width="22.140625" customWidth="1"/>
    <col min="8" max="8" width="11.7109375" bestFit="1" customWidth="1"/>
    <col min="9" max="9" width="25.140625" customWidth="1"/>
    <col min="10" max="10" width="22.140625" bestFit="1" customWidth="1"/>
    <col min="11" max="11" width="21.5703125" bestFit="1" customWidth="1"/>
    <col min="12" max="12" width="17.28515625" bestFit="1" customWidth="1"/>
    <col min="14" max="14" width="16.7109375" bestFit="1" customWidth="1"/>
    <col min="15" max="15" width="20" bestFit="1" customWidth="1"/>
    <col min="16" max="16" width="16.5703125" bestFit="1" customWidth="1"/>
  </cols>
  <sheetData>
    <row r="2" spans="2:15" ht="15.75" x14ac:dyDescent="0.25">
      <c r="B2" s="4"/>
      <c r="C2" s="4"/>
      <c r="D2" s="4"/>
      <c r="E2" s="4"/>
      <c r="F2" s="4"/>
      <c r="G2" s="4"/>
    </row>
    <row r="3" spans="2:15" ht="18.75" x14ac:dyDescent="0.3">
      <c r="B3" s="28" t="s">
        <v>341</v>
      </c>
      <c r="C3" s="29"/>
      <c r="D3" s="30"/>
      <c r="E3" s="28" t="s">
        <v>342</v>
      </c>
      <c r="F3" s="28"/>
      <c r="G3" s="28"/>
      <c r="H3" s="30"/>
      <c r="I3" s="28" t="s">
        <v>343</v>
      </c>
      <c r="J3" s="28"/>
      <c r="K3" s="28"/>
      <c r="L3" s="28"/>
      <c r="M3" s="30"/>
      <c r="N3" s="28" t="s">
        <v>348</v>
      </c>
      <c r="O3" s="29"/>
    </row>
    <row r="4" spans="2:15" ht="18.75" x14ac:dyDescent="0.3">
      <c r="B4" s="32" t="s">
        <v>304</v>
      </c>
      <c r="C4" s="33" t="s">
        <v>303</v>
      </c>
      <c r="D4" s="33"/>
      <c r="E4" s="32" t="s">
        <v>320</v>
      </c>
      <c r="F4" s="32" t="s">
        <v>321</v>
      </c>
      <c r="G4" s="33" t="s">
        <v>303</v>
      </c>
      <c r="H4" s="33"/>
      <c r="I4" s="32" t="s">
        <v>312</v>
      </c>
      <c r="J4" s="32" t="s">
        <v>303</v>
      </c>
      <c r="K4" s="33" t="s">
        <v>307</v>
      </c>
      <c r="L4" s="33" t="s">
        <v>338</v>
      </c>
      <c r="M4" s="33"/>
      <c r="N4" s="32" t="s">
        <v>304</v>
      </c>
      <c r="O4" s="33" t="s">
        <v>306</v>
      </c>
    </row>
    <row r="5" spans="2:15" x14ac:dyDescent="0.25">
      <c r="B5" s="34" t="s">
        <v>17</v>
      </c>
      <c r="C5" s="35">
        <v>40865</v>
      </c>
      <c r="D5" s="35"/>
      <c r="E5" s="35" t="s">
        <v>326</v>
      </c>
      <c r="F5" s="35" t="s">
        <v>67</v>
      </c>
      <c r="G5" s="35">
        <v>11370</v>
      </c>
      <c r="H5" s="35"/>
      <c r="I5" s="35" t="s">
        <v>40</v>
      </c>
      <c r="J5" s="35">
        <v>22000</v>
      </c>
      <c r="K5" s="35">
        <v>14</v>
      </c>
      <c r="L5" s="36">
        <v>0.24850333220377274</v>
      </c>
      <c r="M5" s="35"/>
      <c r="N5" s="34" t="s">
        <v>29</v>
      </c>
      <c r="O5" s="35">
        <v>46</v>
      </c>
    </row>
    <row r="6" spans="2:15" x14ac:dyDescent="0.25">
      <c r="B6" s="34" t="s">
        <v>1</v>
      </c>
      <c r="C6" s="35">
        <v>45145</v>
      </c>
      <c r="D6" s="35"/>
      <c r="E6" s="35"/>
      <c r="F6" s="35" t="s">
        <v>14</v>
      </c>
      <c r="G6" s="35">
        <v>6110</v>
      </c>
      <c r="H6" s="35"/>
      <c r="I6" s="35" t="s">
        <v>29</v>
      </c>
      <c r="J6" s="35">
        <v>6900</v>
      </c>
      <c r="K6" s="35">
        <v>14</v>
      </c>
      <c r="L6" s="36">
        <v>7.7939681463910546E-2</v>
      </c>
      <c r="M6" s="35"/>
      <c r="N6" s="34" t="s">
        <v>40</v>
      </c>
      <c r="O6" s="35">
        <v>44</v>
      </c>
    </row>
    <row r="7" spans="2:15" x14ac:dyDescent="0.25">
      <c r="B7" s="34" t="s">
        <v>65</v>
      </c>
      <c r="C7" s="35">
        <v>2520</v>
      </c>
      <c r="D7" s="35"/>
      <c r="E7" s="35" t="s">
        <v>325</v>
      </c>
      <c r="F7" s="35" t="s">
        <v>20</v>
      </c>
      <c r="G7" s="35">
        <v>10370</v>
      </c>
      <c r="H7" s="35"/>
      <c r="I7" s="35" t="s">
        <v>3</v>
      </c>
      <c r="J7" s="35">
        <v>1620</v>
      </c>
      <c r="K7" s="35">
        <v>10</v>
      </c>
      <c r="L7" s="36">
        <v>1.8298881735005084E-2</v>
      </c>
      <c r="M7" s="35"/>
      <c r="N7" s="34" t="s">
        <v>54</v>
      </c>
      <c r="O7" s="35">
        <v>32</v>
      </c>
    </row>
    <row r="8" spans="2:15" x14ac:dyDescent="0.25">
      <c r="B8" s="34" t="s">
        <v>305</v>
      </c>
      <c r="C8" s="35">
        <v>88530</v>
      </c>
      <c r="D8" s="35"/>
      <c r="E8" s="35" t="s">
        <v>327</v>
      </c>
      <c r="F8" s="35" t="s">
        <v>42</v>
      </c>
      <c r="G8" s="35">
        <v>11680</v>
      </c>
      <c r="H8" s="35"/>
      <c r="I8" s="35" t="s">
        <v>31</v>
      </c>
      <c r="J8" s="35">
        <v>560</v>
      </c>
      <c r="K8" s="35">
        <v>9</v>
      </c>
      <c r="L8" s="36">
        <v>6.3255393651869421E-3</v>
      </c>
      <c r="M8" s="35"/>
      <c r="N8" s="34" t="s">
        <v>31</v>
      </c>
      <c r="O8" s="35">
        <v>28</v>
      </c>
    </row>
    <row r="9" spans="2:15" x14ac:dyDescent="0.25">
      <c r="B9" s="35"/>
      <c r="C9" s="35"/>
      <c r="D9" s="35"/>
      <c r="E9" s="35" t="s">
        <v>323</v>
      </c>
      <c r="F9" s="35" t="s">
        <v>80</v>
      </c>
      <c r="G9" s="35">
        <v>7320</v>
      </c>
      <c r="H9" s="35"/>
      <c r="I9" s="35" t="s">
        <v>54</v>
      </c>
      <c r="J9" s="35">
        <v>25600</v>
      </c>
      <c r="K9" s="35">
        <v>9</v>
      </c>
      <c r="L9" s="36">
        <v>0.28916751383711736</v>
      </c>
      <c r="M9" s="35"/>
      <c r="N9" s="34" t="s">
        <v>3</v>
      </c>
      <c r="O9" s="35">
        <v>27</v>
      </c>
    </row>
    <row r="10" spans="2:15" x14ac:dyDescent="0.25">
      <c r="B10" s="35"/>
      <c r="C10" s="35"/>
      <c r="D10" s="35"/>
      <c r="E10" s="35" t="s">
        <v>322</v>
      </c>
      <c r="F10" s="35" t="s">
        <v>44</v>
      </c>
      <c r="G10" s="35">
        <v>7475</v>
      </c>
      <c r="H10" s="35"/>
      <c r="I10" s="35" t="s">
        <v>63</v>
      </c>
      <c r="J10" s="35">
        <v>22800</v>
      </c>
      <c r="K10" s="35">
        <v>9</v>
      </c>
      <c r="L10" s="36">
        <v>0.25753981701118267</v>
      </c>
      <c r="M10" s="35"/>
      <c r="N10" s="34" t="s">
        <v>51</v>
      </c>
      <c r="O10" s="35">
        <v>21</v>
      </c>
    </row>
    <row r="11" spans="2:15" x14ac:dyDescent="0.25">
      <c r="B11" s="35"/>
      <c r="C11" s="35"/>
      <c r="D11" s="35"/>
      <c r="E11" s="35" t="s">
        <v>6</v>
      </c>
      <c r="F11" s="35"/>
      <c r="G11" s="35">
        <v>5490</v>
      </c>
      <c r="H11" s="35"/>
      <c r="I11" s="35" t="s">
        <v>11</v>
      </c>
      <c r="J11" s="35">
        <v>1400</v>
      </c>
      <c r="K11" s="35">
        <v>7</v>
      </c>
      <c r="L11" s="36">
        <v>1.5813848412967357E-2</v>
      </c>
      <c r="M11" s="35"/>
      <c r="N11" s="34" t="s">
        <v>63</v>
      </c>
      <c r="O11" s="35">
        <v>19</v>
      </c>
    </row>
    <row r="12" spans="2:15" x14ac:dyDescent="0.25">
      <c r="B12" s="35"/>
      <c r="C12" s="35"/>
      <c r="D12" s="35"/>
      <c r="E12" s="35" t="s">
        <v>324</v>
      </c>
      <c r="F12" s="35" t="s">
        <v>25</v>
      </c>
      <c r="G12" s="35">
        <v>7720</v>
      </c>
      <c r="H12" s="35"/>
      <c r="I12" s="35" t="s">
        <v>51</v>
      </c>
      <c r="J12" s="35">
        <v>840</v>
      </c>
      <c r="K12" s="35">
        <v>6</v>
      </c>
      <c r="L12" s="36">
        <v>9.4883090477804136E-3</v>
      </c>
      <c r="M12" s="35"/>
      <c r="N12" s="34" t="s">
        <v>11</v>
      </c>
      <c r="O12" s="35">
        <v>14</v>
      </c>
    </row>
    <row r="13" spans="2:15" x14ac:dyDescent="0.25">
      <c r="B13" s="35"/>
      <c r="C13" s="35"/>
      <c r="D13" s="35"/>
      <c r="E13" s="35"/>
      <c r="F13" s="35" t="s">
        <v>35</v>
      </c>
      <c r="G13" s="35">
        <v>11570</v>
      </c>
      <c r="H13" s="35"/>
      <c r="I13" s="35" t="s">
        <v>47</v>
      </c>
      <c r="J13" s="35">
        <v>210</v>
      </c>
      <c r="K13" s="35">
        <v>6</v>
      </c>
      <c r="L13" s="36">
        <v>2.3720772619451034E-3</v>
      </c>
      <c r="M13" s="35"/>
      <c r="N13" s="34" t="s">
        <v>47</v>
      </c>
      <c r="O13" s="35">
        <v>14</v>
      </c>
    </row>
    <row r="14" spans="2:15" x14ac:dyDescent="0.25">
      <c r="B14" s="35"/>
      <c r="C14" s="35"/>
      <c r="D14" s="35"/>
      <c r="E14" s="35" t="s">
        <v>328</v>
      </c>
      <c r="F14" s="35" t="s">
        <v>61</v>
      </c>
      <c r="G14" s="35">
        <v>9425</v>
      </c>
      <c r="H14" s="35"/>
      <c r="I14" s="35" t="s">
        <v>58</v>
      </c>
      <c r="J14" s="35">
        <v>6600</v>
      </c>
      <c r="K14" s="35">
        <v>4</v>
      </c>
      <c r="L14" s="36">
        <v>7.4550999661131823E-2</v>
      </c>
      <c r="M14" s="35"/>
      <c r="N14" s="34" t="s">
        <v>58</v>
      </c>
      <c r="O14" s="35">
        <v>11</v>
      </c>
    </row>
    <row r="15" spans="2:15" x14ac:dyDescent="0.25">
      <c r="B15" s="35"/>
      <c r="C15" s="35"/>
      <c r="D15" s="35"/>
      <c r="E15" s="35" t="s">
        <v>305</v>
      </c>
      <c r="F15" s="35"/>
      <c r="G15" s="35">
        <v>88530</v>
      </c>
      <c r="H15" s="35"/>
      <c r="I15" s="35" t="s">
        <v>305</v>
      </c>
      <c r="J15" s="35">
        <v>88530</v>
      </c>
      <c r="K15" s="35">
        <v>88</v>
      </c>
      <c r="L15" s="36">
        <v>1</v>
      </c>
      <c r="M15" s="35"/>
      <c r="N15" s="34" t="s">
        <v>305</v>
      </c>
      <c r="O15" s="35">
        <v>256</v>
      </c>
    </row>
    <row r="19" spans="1:16" ht="18.75" x14ac:dyDescent="0.3">
      <c r="B19" s="28" t="s">
        <v>344</v>
      </c>
      <c r="C19" s="29"/>
      <c r="D19" s="30"/>
      <c r="E19" s="28" t="s">
        <v>345</v>
      </c>
      <c r="F19" s="29"/>
      <c r="G19" s="30"/>
      <c r="H19" s="28" t="s">
        <v>346</v>
      </c>
      <c r="I19" s="29"/>
      <c r="J19" s="30"/>
      <c r="K19" s="28" t="s">
        <v>347</v>
      </c>
      <c r="L19" s="29"/>
      <c r="M19" s="30"/>
      <c r="N19" s="28" t="s">
        <v>349</v>
      </c>
      <c r="O19" s="29"/>
      <c r="P19" s="29"/>
    </row>
    <row r="20" spans="1:16" x14ac:dyDescent="0.25">
      <c r="A20" s="35"/>
      <c r="B20" s="37" t="s">
        <v>304</v>
      </c>
      <c r="C20" s="35" t="s">
        <v>303</v>
      </c>
      <c r="D20" s="35"/>
      <c r="E20" s="37" t="s">
        <v>304</v>
      </c>
      <c r="F20" s="35" t="s">
        <v>306</v>
      </c>
      <c r="G20" s="35"/>
      <c r="H20" s="37" t="s">
        <v>337</v>
      </c>
      <c r="I20" s="35" t="s">
        <v>306</v>
      </c>
      <c r="J20" s="35"/>
      <c r="K20" s="37" t="s">
        <v>304</v>
      </c>
      <c r="L20" s="35" t="s">
        <v>303</v>
      </c>
      <c r="M20" s="35"/>
      <c r="N20" s="37" t="s">
        <v>311</v>
      </c>
      <c r="O20" s="37" t="s">
        <v>303</v>
      </c>
      <c r="P20" s="35" t="s">
        <v>307</v>
      </c>
    </row>
    <row r="21" spans="1:16" x14ac:dyDescent="0.25">
      <c r="A21" s="35"/>
      <c r="B21" s="34" t="s">
        <v>5</v>
      </c>
      <c r="C21" s="35">
        <v>20720</v>
      </c>
      <c r="D21" s="35"/>
      <c r="E21" s="34" t="s">
        <v>5</v>
      </c>
      <c r="F21" s="35">
        <v>54</v>
      </c>
      <c r="G21" s="35"/>
      <c r="H21" s="34" t="s">
        <v>36</v>
      </c>
      <c r="I21" s="35">
        <v>90</v>
      </c>
      <c r="J21" s="35"/>
      <c r="K21" s="34" t="s">
        <v>36</v>
      </c>
      <c r="L21" s="38">
        <v>35170</v>
      </c>
      <c r="M21" s="35"/>
      <c r="N21" s="34" t="s">
        <v>39</v>
      </c>
      <c r="O21" s="38">
        <v>20465</v>
      </c>
      <c r="P21" s="35">
        <v>15</v>
      </c>
    </row>
    <row r="22" spans="1:16" x14ac:dyDescent="0.25">
      <c r="A22" s="35"/>
      <c r="B22" s="34" t="s">
        <v>19</v>
      </c>
      <c r="C22" s="35">
        <v>15285</v>
      </c>
      <c r="D22" s="35"/>
      <c r="E22" s="34" t="s">
        <v>52</v>
      </c>
      <c r="F22" s="35">
        <v>35</v>
      </c>
      <c r="G22" s="35"/>
      <c r="H22" s="34" t="s">
        <v>21</v>
      </c>
      <c r="I22" s="35">
        <v>62</v>
      </c>
      <c r="J22" s="35"/>
      <c r="K22" s="34" t="s">
        <v>21</v>
      </c>
      <c r="L22" s="38">
        <v>17815</v>
      </c>
      <c r="M22" s="35"/>
      <c r="N22" s="34" t="s">
        <v>28</v>
      </c>
      <c r="O22" s="38">
        <v>14295</v>
      </c>
      <c r="P22" s="35">
        <v>15</v>
      </c>
    </row>
    <row r="23" spans="1:16" x14ac:dyDescent="0.25">
      <c r="A23" s="35"/>
      <c r="B23" s="34" t="s">
        <v>24</v>
      </c>
      <c r="C23" s="35">
        <v>13460</v>
      </c>
      <c r="D23" s="35"/>
      <c r="E23" s="34" t="s">
        <v>19</v>
      </c>
      <c r="F23" s="35">
        <v>32</v>
      </c>
      <c r="G23" s="35"/>
      <c r="H23" s="34" t="s">
        <v>7</v>
      </c>
      <c r="I23" s="35">
        <v>44</v>
      </c>
      <c r="J23" s="35"/>
      <c r="K23" s="34" t="s">
        <v>26</v>
      </c>
      <c r="L23" s="38">
        <v>16015</v>
      </c>
      <c r="M23" s="35"/>
      <c r="N23" s="34" t="s">
        <v>23</v>
      </c>
      <c r="O23" s="38">
        <v>13760</v>
      </c>
      <c r="P23" s="35">
        <v>12</v>
      </c>
    </row>
    <row r="24" spans="1:16" x14ac:dyDescent="0.25">
      <c r="A24" s="35"/>
      <c r="B24" s="34" t="s">
        <v>52</v>
      </c>
      <c r="C24" s="35">
        <v>9905</v>
      </c>
      <c r="D24" s="35"/>
      <c r="E24" s="34" t="s">
        <v>24</v>
      </c>
      <c r="F24" s="35">
        <v>29</v>
      </c>
      <c r="G24" s="35"/>
      <c r="H24" s="34" t="s">
        <v>26</v>
      </c>
      <c r="I24" s="35">
        <v>43</v>
      </c>
      <c r="J24" s="35"/>
      <c r="K24" s="34" t="s">
        <v>7</v>
      </c>
      <c r="L24" s="38">
        <v>11540</v>
      </c>
      <c r="M24" s="35"/>
      <c r="N24" s="34" t="s">
        <v>10</v>
      </c>
      <c r="O24" s="38">
        <v>12865</v>
      </c>
      <c r="P24" s="35">
        <v>14</v>
      </c>
    </row>
    <row r="25" spans="1:16" x14ac:dyDescent="0.25">
      <c r="A25" s="35"/>
      <c r="B25" s="34" t="s">
        <v>13</v>
      </c>
      <c r="C25" s="35">
        <v>9855</v>
      </c>
      <c r="D25" s="35"/>
      <c r="E25" s="34" t="s">
        <v>13</v>
      </c>
      <c r="F25" s="35">
        <v>29</v>
      </c>
      <c r="G25" s="35"/>
      <c r="H25" s="34" t="s">
        <v>56</v>
      </c>
      <c r="I25" s="35">
        <v>17</v>
      </c>
      <c r="J25" s="35"/>
      <c r="K25" s="34" t="s">
        <v>56</v>
      </c>
      <c r="L25" s="38">
        <v>7990</v>
      </c>
      <c r="M25" s="35"/>
      <c r="N25" s="34" t="s">
        <v>34</v>
      </c>
      <c r="O25" s="38">
        <v>11630</v>
      </c>
      <c r="P25" s="35">
        <v>10</v>
      </c>
    </row>
    <row r="26" spans="1:16" x14ac:dyDescent="0.25">
      <c r="A26" s="35"/>
      <c r="B26" s="34" t="s">
        <v>79</v>
      </c>
      <c r="C26" s="35">
        <v>7250</v>
      </c>
      <c r="D26" s="35"/>
      <c r="E26" s="34" t="s">
        <v>41</v>
      </c>
      <c r="F26" s="35">
        <v>18</v>
      </c>
      <c r="G26" s="35"/>
      <c r="H26" s="34" t="s">
        <v>305</v>
      </c>
      <c r="I26" s="35">
        <v>256</v>
      </c>
      <c r="J26" s="35"/>
      <c r="K26" s="34" t="s">
        <v>305</v>
      </c>
      <c r="L26" s="35">
        <v>88530</v>
      </c>
      <c r="M26" s="35"/>
      <c r="N26" s="34" t="s">
        <v>2</v>
      </c>
      <c r="O26" s="38">
        <v>10925</v>
      </c>
      <c r="P26" s="35">
        <v>12</v>
      </c>
    </row>
    <row r="27" spans="1:16" x14ac:dyDescent="0.25">
      <c r="A27" s="35"/>
      <c r="B27" s="34" t="s">
        <v>49</v>
      </c>
      <c r="C27" s="35">
        <v>4550</v>
      </c>
      <c r="D27" s="35"/>
      <c r="E27" s="34" t="s">
        <v>79</v>
      </c>
      <c r="F27" s="35">
        <v>17</v>
      </c>
      <c r="G27" s="35"/>
      <c r="H27" s="35"/>
      <c r="I27" s="35"/>
      <c r="J27" s="35"/>
      <c r="K27" s="35"/>
      <c r="L27" s="35"/>
      <c r="M27" s="35"/>
      <c r="N27" s="34" t="s">
        <v>18</v>
      </c>
      <c r="O27" s="38">
        <v>4590</v>
      </c>
      <c r="P27" s="35">
        <v>10</v>
      </c>
    </row>
    <row r="28" spans="1:16" x14ac:dyDescent="0.25">
      <c r="A28" s="35"/>
      <c r="B28" s="34" t="s">
        <v>41</v>
      </c>
      <c r="C28" s="35">
        <v>2725</v>
      </c>
      <c r="D28" s="35"/>
      <c r="E28" s="34" t="s">
        <v>71</v>
      </c>
      <c r="F28" s="35">
        <v>16</v>
      </c>
      <c r="G28" s="35"/>
      <c r="H28" s="35"/>
      <c r="I28" s="35"/>
      <c r="J28" s="35"/>
      <c r="K28" s="35"/>
      <c r="L28" s="35"/>
      <c r="M28" s="35"/>
      <c r="N28" s="34" t="s">
        <v>305</v>
      </c>
      <c r="O28" s="38">
        <v>88530</v>
      </c>
      <c r="P28" s="35">
        <v>88</v>
      </c>
    </row>
    <row r="29" spans="1:16" x14ac:dyDescent="0.25">
      <c r="A29" s="35"/>
      <c r="B29" s="34" t="s">
        <v>55</v>
      </c>
      <c r="C29" s="35">
        <v>2670</v>
      </c>
      <c r="D29" s="35"/>
      <c r="E29" s="34" t="s">
        <v>55</v>
      </c>
      <c r="F29" s="35">
        <v>16</v>
      </c>
      <c r="G29" s="35"/>
      <c r="H29" s="35"/>
      <c r="I29" s="35"/>
      <c r="J29" s="35"/>
      <c r="K29" s="35"/>
      <c r="L29" s="35"/>
      <c r="M29" s="35"/>
      <c r="N29" s="35"/>
      <c r="O29" s="35"/>
      <c r="P29" s="35"/>
    </row>
    <row r="30" spans="1:16" x14ac:dyDescent="0.25">
      <c r="A30" s="35"/>
      <c r="B30" s="34" t="s">
        <v>71</v>
      </c>
      <c r="C30" s="35">
        <v>2110</v>
      </c>
      <c r="D30" s="35"/>
      <c r="E30" s="34" t="s">
        <v>49</v>
      </c>
      <c r="F30" s="35">
        <v>10</v>
      </c>
      <c r="G30" s="35"/>
      <c r="H30" s="35"/>
      <c r="I30" s="35"/>
      <c r="J30" s="35"/>
      <c r="K30" s="35"/>
      <c r="L30" s="35"/>
      <c r="M30" s="35"/>
      <c r="N30" s="35"/>
      <c r="O30" s="35"/>
      <c r="P30" s="35"/>
    </row>
    <row r="31" spans="1:16" x14ac:dyDescent="0.25">
      <c r="A31" s="35"/>
      <c r="B31" s="34" t="s">
        <v>305</v>
      </c>
      <c r="C31" s="35">
        <v>88530</v>
      </c>
      <c r="D31" s="35"/>
      <c r="E31" s="34" t="s">
        <v>305</v>
      </c>
      <c r="F31" s="35">
        <v>256</v>
      </c>
      <c r="G31" s="35"/>
      <c r="H31" s="35"/>
      <c r="I31" s="35"/>
      <c r="J31" s="35"/>
      <c r="K31" s="35"/>
      <c r="L31" s="35"/>
      <c r="M31" s="35"/>
      <c r="N31" s="35"/>
      <c r="O31" s="35"/>
      <c r="P31" s="35"/>
    </row>
    <row r="35" spans="1:6" ht="18.75" x14ac:dyDescent="0.3">
      <c r="B35" s="28" t="s">
        <v>350</v>
      </c>
      <c r="C35" s="29"/>
      <c r="D35" s="30"/>
      <c r="E35" s="31" t="s">
        <v>330</v>
      </c>
    </row>
    <row r="36" spans="1:6" x14ac:dyDescent="0.25">
      <c r="A36" s="35"/>
      <c r="B36" s="35" t="s">
        <v>303</v>
      </c>
      <c r="C36" s="35" t="s">
        <v>307</v>
      </c>
      <c r="D36" s="35"/>
      <c r="E36" s="40" t="s">
        <v>331</v>
      </c>
    </row>
    <row r="37" spans="1:6" x14ac:dyDescent="0.25">
      <c r="A37" s="35"/>
      <c r="B37" s="35">
        <v>88530</v>
      </c>
      <c r="C37" s="35">
        <v>88</v>
      </c>
      <c r="D37" s="35"/>
      <c r="E37" s="39">
        <f>GETPIVOTDATA("[Measures].[Sum of Total Sales 3]",$B$36)/GETPIVOTDATA("[Measures].[Count of Order ID 2]",$B$36)</f>
        <v>1006.0227272727273</v>
      </c>
      <c r="F37" s="27"/>
    </row>
    <row r="38" spans="1:6" x14ac:dyDescent="0.25">
      <c r="E38" s="27"/>
      <c r="F38" s="27"/>
    </row>
  </sheetData>
  <mergeCells count="10">
    <mergeCell ref="N3:O3"/>
    <mergeCell ref="N19:P19"/>
    <mergeCell ref="B35:C35"/>
    <mergeCell ref="B3:C3"/>
    <mergeCell ref="E3:G3"/>
    <mergeCell ref="I3:L3"/>
    <mergeCell ref="B19:C19"/>
    <mergeCell ref="E19:F19"/>
    <mergeCell ref="H19:I19"/>
    <mergeCell ref="K19:L19"/>
  </mergeCells>
  <conditionalFormatting pivot="1" sqref="L5:L14">
    <cfRule type="top10" dxfId="113" priority="2" rank="1"/>
  </conditionalFormatting>
  <conditionalFormatting pivot="1" sqref="L5:L14">
    <cfRule type="top10" dxfId="112" priority="1" bottom="1" rank="1"/>
  </conditionalFormatting>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B9F3-2461-435F-9F88-3DB63F35C3F5}">
  <dimension ref="A1:M251"/>
  <sheetViews>
    <sheetView workbookViewId="0">
      <selection activeCell="E7" sqref="E7"/>
    </sheetView>
  </sheetViews>
  <sheetFormatPr defaultRowHeight="15" x14ac:dyDescent="0.25"/>
  <cols>
    <col min="1" max="2" width="10.7109375" bestFit="1" customWidth="1"/>
    <col min="3" max="3" width="9.28515625" bestFit="1" customWidth="1"/>
    <col min="4" max="4" width="11.42578125" bestFit="1" customWidth="1"/>
    <col min="5" max="5" width="16.7109375" bestFit="1" customWidth="1"/>
    <col min="6" max="6" width="16.5703125" bestFit="1" customWidth="1"/>
    <col min="7" max="7" width="7.7109375" bestFit="1" customWidth="1"/>
    <col min="8" max="8" width="11" bestFit="1" customWidth="1"/>
    <col min="9" max="9" width="12.7109375" bestFit="1" customWidth="1"/>
    <col min="10" max="10" width="17.7109375" bestFit="1" customWidth="1"/>
    <col min="11" max="11" width="20" bestFit="1" customWidth="1"/>
    <col min="12" max="12" width="18.85546875" bestFit="1" customWidth="1"/>
    <col min="13" max="13" width="10.85546875" bestFit="1" customWidth="1"/>
    <col min="14" max="16" width="11.140625" bestFit="1" customWidth="1"/>
    <col min="17" max="17" width="11.42578125" bestFit="1" customWidth="1"/>
    <col min="18" max="18" width="16.7109375" bestFit="1" customWidth="1"/>
    <col min="19" max="19" width="16.5703125" bestFit="1" customWidth="1"/>
    <col min="20" max="22" width="11.140625" bestFit="1" customWidth="1"/>
    <col min="23" max="23" width="14.28515625" bestFit="1" customWidth="1"/>
    <col min="24" max="24" width="12.7109375" bestFit="1" customWidth="1"/>
    <col min="25" max="26" width="12.140625" bestFit="1" customWidth="1"/>
  </cols>
  <sheetData>
    <row r="1" spans="1:13" x14ac:dyDescent="0.25">
      <c r="A1" t="s">
        <v>308</v>
      </c>
      <c r="B1" t="s">
        <v>309</v>
      </c>
      <c r="C1" t="s">
        <v>310</v>
      </c>
      <c r="D1" t="s">
        <v>311</v>
      </c>
      <c r="E1" t="s">
        <v>312</v>
      </c>
      <c r="F1" t="s">
        <v>313</v>
      </c>
      <c r="G1" t="s">
        <v>314</v>
      </c>
      <c r="H1" t="s">
        <v>315</v>
      </c>
      <c r="I1" t="s">
        <v>316</v>
      </c>
      <c r="J1" t="s">
        <v>317</v>
      </c>
      <c r="K1" t="s">
        <v>336</v>
      </c>
      <c r="L1" t="s">
        <v>318</v>
      </c>
      <c r="M1" t="s">
        <v>319</v>
      </c>
    </row>
    <row r="2" spans="1:13" x14ac:dyDescent="0.25">
      <c r="A2" t="s">
        <v>86</v>
      </c>
      <c r="B2" s="2">
        <v>45749</v>
      </c>
      <c r="C2" t="s">
        <v>65</v>
      </c>
      <c r="D2" t="s">
        <v>23</v>
      </c>
      <c r="E2" t="s">
        <v>31</v>
      </c>
      <c r="F2" t="s">
        <v>32</v>
      </c>
      <c r="G2">
        <v>20</v>
      </c>
      <c r="H2">
        <v>5</v>
      </c>
      <c r="I2">
        <v>100</v>
      </c>
      <c r="J2" t="s">
        <v>79</v>
      </c>
      <c r="K2" t="s">
        <v>6</v>
      </c>
      <c r="L2" t="s">
        <v>26</v>
      </c>
      <c r="M2" t="s">
        <v>15</v>
      </c>
    </row>
    <row r="3" spans="1:13" x14ac:dyDescent="0.25">
      <c r="A3" t="s">
        <v>87</v>
      </c>
      <c r="B3" s="2">
        <v>45749</v>
      </c>
      <c r="C3" t="s">
        <v>65</v>
      </c>
      <c r="D3" t="s">
        <v>23</v>
      </c>
      <c r="E3" t="s">
        <v>54</v>
      </c>
      <c r="F3" t="s">
        <v>12</v>
      </c>
      <c r="G3">
        <v>800</v>
      </c>
      <c r="H3">
        <v>3</v>
      </c>
      <c r="I3">
        <v>2400</v>
      </c>
      <c r="J3" t="s">
        <v>5</v>
      </c>
      <c r="K3" t="s">
        <v>20</v>
      </c>
      <c r="L3" t="s">
        <v>21</v>
      </c>
      <c r="M3" t="s">
        <v>37</v>
      </c>
    </row>
    <row r="4" spans="1:13" x14ac:dyDescent="0.25">
      <c r="A4" t="s">
        <v>234</v>
      </c>
      <c r="B4" s="2">
        <v>45749</v>
      </c>
      <c r="C4" t="s">
        <v>65</v>
      </c>
      <c r="D4" t="s">
        <v>23</v>
      </c>
      <c r="E4" t="s">
        <v>31</v>
      </c>
      <c r="F4" t="s">
        <v>32</v>
      </c>
      <c r="G4">
        <v>20</v>
      </c>
      <c r="H4">
        <v>5</v>
      </c>
      <c r="I4">
        <v>100</v>
      </c>
      <c r="J4" t="s">
        <v>5</v>
      </c>
      <c r="K4" t="s">
        <v>20</v>
      </c>
      <c r="L4" t="s">
        <v>36</v>
      </c>
      <c r="M4" t="s">
        <v>37</v>
      </c>
    </row>
    <row r="5" spans="1:13" x14ac:dyDescent="0.25">
      <c r="A5" t="s">
        <v>279</v>
      </c>
      <c r="B5" s="2">
        <v>45749</v>
      </c>
      <c r="C5" t="s">
        <v>65</v>
      </c>
      <c r="D5" t="s">
        <v>23</v>
      </c>
      <c r="E5" t="s">
        <v>11</v>
      </c>
      <c r="F5" t="s">
        <v>12</v>
      </c>
      <c r="G5">
        <v>100</v>
      </c>
      <c r="H5">
        <v>5</v>
      </c>
      <c r="I5">
        <v>500</v>
      </c>
      <c r="J5" t="s">
        <v>5</v>
      </c>
      <c r="K5" t="s">
        <v>42</v>
      </c>
      <c r="L5" t="s">
        <v>21</v>
      </c>
      <c r="M5" t="s">
        <v>8</v>
      </c>
    </row>
    <row r="6" spans="1:13" x14ac:dyDescent="0.25">
      <c r="A6" t="s">
        <v>64</v>
      </c>
      <c r="B6" s="2">
        <v>45748</v>
      </c>
      <c r="C6" t="s">
        <v>65</v>
      </c>
      <c r="D6" t="s">
        <v>34</v>
      </c>
      <c r="E6" t="s">
        <v>31</v>
      </c>
      <c r="F6" t="s">
        <v>32</v>
      </c>
      <c r="G6">
        <v>20</v>
      </c>
      <c r="H6">
        <v>1</v>
      </c>
      <c r="I6">
        <v>20</v>
      </c>
      <c r="J6" t="s">
        <v>5</v>
      </c>
      <c r="K6" t="s">
        <v>6</v>
      </c>
      <c r="L6" t="s">
        <v>21</v>
      </c>
      <c r="M6" t="s">
        <v>37</v>
      </c>
    </row>
    <row r="7" spans="1:13" x14ac:dyDescent="0.25">
      <c r="A7" t="s">
        <v>111</v>
      </c>
      <c r="B7" s="2">
        <v>45748</v>
      </c>
      <c r="C7" t="s">
        <v>65</v>
      </c>
      <c r="D7" t="s">
        <v>34</v>
      </c>
      <c r="E7" t="s">
        <v>29</v>
      </c>
      <c r="F7" t="s">
        <v>12</v>
      </c>
      <c r="G7">
        <v>150</v>
      </c>
      <c r="H7">
        <v>2</v>
      </c>
      <c r="I7">
        <v>300</v>
      </c>
      <c r="J7" t="s">
        <v>55</v>
      </c>
      <c r="K7" t="s">
        <v>25</v>
      </c>
      <c r="L7" t="s">
        <v>26</v>
      </c>
      <c r="M7" t="s">
        <v>8</v>
      </c>
    </row>
    <row r="8" spans="1:13" x14ac:dyDescent="0.25">
      <c r="A8" t="s">
        <v>119</v>
      </c>
      <c r="B8" s="2">
        <v>45747</v>
      </c>
      <c r="C8" t="s">
        <v>1</v>
      </c>
      <c r="D8" t="s">
        <v>28</v>
      </c>
      <c r="E8" t="s">
        <v>11</v>
      </c>
      <c r="F8" t="s">
        <v>12</v>
      </c>
      <c r="G8">
        <v>100</v>
      </c>
      <c r="H8">
        <v>3</v>
      </c>
      <c r="I8">
        <v>300</v>
      </c>
      <c r="J8" t="s">
        <v>71</v>
      </c>
      <c r="K8" t="s">
        <v>6</v>
      </c>
      <c r="L8" t="s">
        <v>7</v>
      </c>
      <c r="M8" t="s">
        <v>15</v>
      </c>
    </row>
    <row r="9" spans="1:13" x14ac:dyDescent="0.25">
      <c r="A9" t="s">
        <v>163</v>
      </c>
      <c r="B9" s="2">
        <v>45747</v>
      </c>
      <c r="C9" t="s">
        <v>1</v>
      </c>
      <c r="D9" t="s">
        <v>28</v>
      </c>
      <c r="E9" t="s">
        <v>54</v>
      </c>
      <c r="F9" t="s">
        <v>12</v>
      </c>
      <c r="G9">
        <v>800</v>
      </c>
      <c r="H9">
        <v>4</v>
      </c>
      <c r="I9">
        <v>3200</v>
      </c>
      <c r="J9" t="s">
        <v>5</v>
      </c>
      <c r="K9" t="s">
        <v>67</v>
      </c>
      <c r="L9" t="s">
        <v>26</v>
      </c>
      <c r="M9" t="s">
        <v>37</v>
      </c>
    </row>
    <row r="10" spans="1:13" x14ac:dyDescent="0.25">
      <c r="A10" t="s">
        <v>195</v>
      </c>
      <c r="B10" s="2">
        <v>45747</v>
      </c>
      <c r="C10" t="s">
        <v>1</v>
      </c>
      <c r="D10" t="s">
        <v>28</v>
      </c>
      <c r="E10" t="s">
        <v>63</v>
      </c>
      <c r="F10" t="s">
        <v>59</v>
      </c>
      <c r="G10">
        <v>1200</v>
      </c>
      <c r="H10">
        <v>2</v>
      </c>
      <c r="I10">
        <v>2400</v>
      </c>
      <c r="J10" t="s">
        <v>79</v>
      </c>
      <c r="K10" t="s">
        <v>25</v>
      </c>
      <c r="L10" t="s">
        <v>36</v>
      </c>
      <c r="M10" t="s">
        <v>8</v>
      </c>
    </row>
    <row r="11" spans="1:13" x14ac:dyDescent="0.25">
      <c r="A11" t="s">
        <v>244</v>
      </c>
      <c r="B11" s="2">
        <v>45747</v>
      </c>
      <c r="C11" t="s">
        <v>1</v>
      </c>
      <c r="D11" t="s">
        <v>28</v>
      </c>
      <c r="E11" t="s">
        <v>11</v>
      </c>
      <c r="F11" t="s">
        <v>12</v>
      </c>
      <c r="G11">
        <v>100</v>
      </c>
      <c r="H11">
        <v>3</v>
      </c>
      <c r="I11">
        <v>300</v>
      </c>
      <c r="J11" t="s">
        <v>41</v>
      </c>
      <c r="K11" t="s">
        <v>25</v>
      </c>
      <c r="L11" t="s">
        <v>56</v>
      </c>
      <c r="M11" t="s">
        <v>15</v>
      </c>
    </row>
    <row r="12" spans="1:13" x14ac:dyDescent="0.25">
      <c r="A12" t="s">
        <v>282</v>
      </c>
      <c r="B12" s="2">
        <v>45747</v>
      </c>
      <c r="C12" t="s">
        <v>1</v>
      </c>
      <c r="D12" t="s">
        <v>28</v>
      </c>
      <c r="E12" t="s">
        <v>11</v>
      </c>
      <c r="F12" t="s">
        <v>12</v>
      </c>
      <c r="G12">
        <v>100</v>
      </c>
      <c r="H12">
        <v>4</v>
      </c>
      <c r="I12">
        <v>400</v>
      </c>
      <c r="J12" t="s">
        <v>79</v>
      </c>
      <c r="K12" t="s">
        <v>14</v>
      </c>
      <c r="L12" t="s">
        <v>21</v>
      </c>
      <c r="M12" t="s">
        <v>15</v>
      </c>
    </row>
    <row r="13" spans="1:13" x14ac:dyDescent="0.25">
      <c r="A13" t="s">
        <v>115</v>
      </c>
      <c r="B13" s="2">
        <v>45746</v>
      </c>
      <c r="C13" t="s">
        <v>1</v>
      </c>
      <c r="D13" t="s">
        <v>39</v>
      </c>
      <c r="E13" t="s">
        <v>40</v>
      </c>
      <c r="F13" t="s">
        <v>12</v>
      </c>
      <c r="G13">
        <v>500</v>
      </c>
      <c r="H13">
        <v>5</v>
      </c>
      <c r="I13">
        <v>2500</v>
      </c>
      <c r="J13" t="s">
        <v>5</v>
      </c>
      <c r="K13" t="s">
        <v>42</v>
      </c>
      <c r="L13" t="s">
        <v>56</v>
      </c>
      <c r="M13" t="s">
        <v>37</v>
      </c>
    </row>
    <row r="14" spans="1:13" x14ac:dyDescent="0.25">
      <c r="A14" t="s">
        <v>148</v>
      </c>
      <c r="B14" s="2">
        <v>45746</v>
      </c>
      <c r="C14" t="s">
        <v>1</v>
      </c>
      <c r="D14" t="s">
        <v>39</v>
      </c>
      <c r="E14" t="s">
        <v>29</v>
      </c>
      <c r="F14" t="s">
        <v>12</v>
      </c>
      <c r="G14">
        <v>150</v>
      </c>
      <c r="H14">
        <v>3</v>
      </c>
      <c r="I14">
        <v>450</v>
      </c>
      <c r="J14" t="s">
        <v>79</v>
      </c>
      <c r="K14" t="s">
        <v>6</v>
      </c>
      <c r="L14" t="s">
        <v>21</v>
      </c>
      <c r="M14" t="s">
        <v>37</v>
      </c>
    </row>
    <row r="15" spans="1:13" x14ac:dyDescent="0.25">
      <c r="A15" t="s">
        <v>218</v>
      </c>
      <c r="B15" s="2">
        <v>45746</v>
      </c>
      <c r="C15" t="s">
        <v>1</v>
      </c>
      <c r="D15" t="s">
        <v>39</v>
      </c>
      <c r="E15" t="s">
        <v>58</v>
      </c>
      <c r="F15" t="s">
        <v>59</v>
      </c>
      <c r="G15">
        <v>600</v>
      </c>
      <c r="H15">
        <v>4</v>
      </c>
      <c r="I15">
        <v>2400</v>
      </c>
      <c r="J15" t="s">
        <v>71</v>
      </c>
      <c r="K15" t="s">
        <v>35</v>
      </c>
      <c r="L15" t="s">
        <v>26</v>
      </c>
      <c r="M15" t="s">
        <v>15</v>
      </c>
    </row>
    <row r="16" spans="1:13" x14ac:dyDescent="0.25">
      <c r="A16" t="s">
        <v>245</v>
      </c>
      <c r="B16" s="2">
        <v>45746</v>
      </c>
      <c r="C16" t="s">
        <v>1</v>
      </c>
      <c r="D16" t="s">
        <v>39</v>
      </c>
      <c r="E16" t="s">
        <v>47</v>
      </c>
      <c r="F16" t="s">
        <v>48</v>
      </c>
      <c r="G16">
        <v>15</v>
      </c>
      <c r="H16">
        <v>5</v>
      </c>
      <c r="I16">
        <v>75</v>
      </c>
      <c r="J16" t="s">
        <v>49</v>
      </c>
      <c r="K16" t="s">
        <v>80</v>
      </c>
      <c r="L16" t="s">
        <v>21</v>
      </c>
      <c r="M16" t="s">
        <v>15</v>
      </c>
    </row>
    <row r="17" spans="1:13" x14ac:dyDescent="0.25">
      <c r="A17" t="s">
        <v>293</v>
      </c>
      <c r="B17" s="2">
        <v>45746</v>
      </c>
      <c r="C17" t="s">
        <v>1</v>
      </c>
      <c r="D17" t="s">
        <v>39</v>
      </c>
      <c r="E17" t="s">
        <v>40</v>
      </c>
      <c r="F17" t="s">
        <v>12</v>
      </c>
      <c r="G17">
        <v>500</v>
      </c>
      <c r="H17">
        <v>4</v>
      </c>
      <c r="I17">
        <v>2000</v>
      </c>
      <c r="J17" t="s">
        <v>24</v>
      </c>
      <c r="K17" t="s">
        <v>6</v>
      </c>
      <c r="L17" t="s">
        <v>26</v>
      </c>
      <c r="M17" t="s">
        <v>15</v>
      </c>
    </row>
    <row r="18" spans="1:13" x14ac:dyDescent="0.25">
      <c r="A18" t="s">
        <v>299</v>
      </c>
      <c r="B18" s="2">
        <v>45746</v>
      </c>
      <c r="C18" t="s">
        <v>1</v>
      </c>
      <c r="D18" t="s">
        <v>39</v>
      </c>
      <c r="E18" t="s">
        <v>51</v>
      </c>
      <c r="F18" t="s">
        <v>32</v>
      </c>
      <c r="G18">
        <v>40</v>
      </c>
      <c r="H18">
        <v>1</v>
      </c>
      <c r="I18">
        <v>40</v>
      </c>
      <c r="J18" t="s">
        <v>41</v>
      </c>
      <c r="K18" t="s">
        <v>25</v>
      </c>
      <c r="L18" t="s">
        <v>7</v>
      </c>
      <c r="M18" t="s">
        <v>8</v>
      </c>
    </row>
    <row r="19" spans="1:13" x14ac:dyDescent="0.25">
      <c r="A19" t="s">
        <v>203</v>
      </c>
      <c r="B19" s="2">
        <v>45745</v>
      </c>
      <c r="C19" t="s">
        <v>1</v>
      </c>
      <c r="D19" t="s">
        <v>18</v>
      </c>
      <c r="E19" t="s">
        <v>58</v>
      </c>
      <c r="F19" t="s">
        <v>59</v>
      </c>
      <c r="G19">
        <v>600</v>
      </c>
      <c r="H19">
        <v>4</v>
      </c>
      <c r="I19">
        <v>2400</v>
      </c>
      <c r="J19" t="s">
        <v>79</v>
      </c>
      <c r="K19" t="s">
        <v>67</v>
      </c>
      <c r="L19" t="s">
        <v>21</v>
      </c>
      <c r="M19" t="s">
        <v>15</v>
      </c>
    </row>
    <row r="20" spans="1:13" x14ac:dyDescent="0.25">
      <c r="A20" t="s">
        <v>261</v>
      </c>
      <c r="B20" s="2">
        <v>45745</v>
      </c>
      <c r="C20" t="s">
        <v>1</v>
      </c>
      <c r="D20" t="s">
        <v>18</v>
      </c>
      <c r="E20" t="s">
        <v>51</v>
      </c>
      <c r="F20" t="s">
        <v>32</v>
      </c>
      <c r="G20">
        <v>40</v>
      </c>
      <c r="H20">
        <v>5</v>
      </c>
      <c r="I20">
        <v>200</v>
      </c>
      <c r="J20" t="s">
        <v>55</v>
      </c>
      <c r="K20" t="s">
        <v>25</v>
      </c>
      <c r="L20" t="s">
        <v>36</v>
      </c>
      <c r="M20" t="s">
        <v>37</v>
      </c>
    </row>
    <row r="21" spans="1:13" x14ac:dyDescent="0.25">
      <c r="A21" t="s">
        <v>174</v>
      </c>
      <c r="B21" s="2">
        <v>45744</v>
      </c>
      <c r="C21" t="s">
        <v>1</v>
      </c>
      <c r="D21" t="s">
        <v>2</v>
      </c>
      <c r="E21" t="s">
        <v>54</v>
      </c>
      <c r="F21" t="s">
        <v>12</v>
      </c>
      <c r="G21">
        <v>800</v>
      </c>
      <c r="H21">
        <v>3</v>
      </c>
      <c r="I21">
        <v>2400</v>
      </c>
      <c r="J21" t="s">
        <v>19</v>
      </c>
      <c r="K21" t="s">
        <v>42</v>
      </c>
      <c r="L21" t="s">
        <v>26</v>
      </c>
      <c r="M21" t="s">
        <v>8</v>
      </c>
    </row>
    <row r="22" spans="1:13" x14ac:dyDescent="0.25">
      <c r="A22" t="s">
        <v>228</v>
      </c>
      <c r="B22" s="2">
        <v>45743</v>
      </c>
      <c r="C22" t="s">
        <v>1</v>
      </c>
      <c r="D22" t="s">
        <v>10</v>
      </c>
      <c r="E22" t="s">
        <v>47</v>
      </c>
      <c r="F22" t="s">
        <v>48</v>
      </c>
      <c r="G22">
        <v>15</v>
      </c>
      <c r="H22">
        <v>1</v>
      </c>
      <c r="I22">
        <v>15</v>
      </c>
      <c r="J22" t="s">
        <v>52</v>
      </c>
      <c r="K22" t="s">
        <v>44</v>
      </c>
      <c r="L22" t="s">
        <v>21</v>
      </c>
      <c r="M22" t="s">
        <v>37</v>
      </c>
    </row>
    <row r="23" spans="1:13" x14ac:dyDescent="0.25">
      <c r="A23" t="s">
        <v>90</v>
      </c>
      <c r="B23" s="2">
        <v>45742</v>
      </c>
      <c r="C23" t="s">
        <v>1</v>
      </c>
      <c r="D23" t="s">
        <v>23</v>
      </c>
      <c r="E23" t="s">
        <v>54</v>
      </c>
      <c r="F23" t="s">
        <v>12</v>
      </c>
      <c r="G23">
        <v>800</v>
      </c>
      <c r="H23">
        <v>3</v>
      </c>
      <c r="I23">
        <v>2400</v>
      </c>
      <c r="J23" t="s">
        <v>24</v>
      </c>
      <c r="K23" t="s">
        <v>80</v>
      </c>
      <c r="L23" t="s">
        <v>21</v>
      </c>
      <c r="M23" t="s">
        <v>37</v>
      </c>
    </row>
    <row r="24" spans="1:13" x14ac:dyDescent="0.25">
      <c r="A24" t="s">
        <v>92</v>
      </c>
      <c r="B24" s="2">
        <v>45742</v>
      </c>
      <c r="C24" t="s">
        <v>1</v>
      </c>
      <c r="D24" t="s">
        <v>23</v>
      </c>
      <c r="E24" t="s">
        <v>29</v>
      </c>
      <c r="F24" t="s">
        <v>12</v>
      </c>
      <c r="G24">
        <v>150</v>
      </c>
      <c r="H24">
        <v>1</v>
      </c>
      <c r="I24">
        <v>150</v>
      </c>
      <c r="J24" t="s">
        <v>13</v>
      </c>
      <c r="K24" t="s">
        <v>61</v>
      </c>
      <c r="L24" t="s">
        <v>56</v>
      </c>
      <c r="M24" t="s">
        <v>15</v>
      </c>
    </row>
    <row r="25" spans="1:13" x14ac:dyDescent="0.25">
      <c r="A25" t="s">
        <v>99</v>
      </c>
      <c r="B25" s="2">
        <v>45742</v>
      </c>
      <c r="C25" t="s">
        <v>1</v>
      </c>
      <c r="D25" t="s">
        <v>23</v>
      </c>
      <c r="E25" t="s">
        <v>31</v>
      </c>
      <c r="F25" t="s">
        <v>32</v>
      </c>
      <c r="G25">
        <v>20</v>
      </c>
      <c r="H25">
        <v>2</v>
      </c>
      <c r="I25">
        <v>40</v>
      </c>
      <c r="J25" t="s">
        <v>71</v>
      </c>
      <c r="K25" t="s">
        <v>42</v>
      </c>
      <c r="L25" t="s">
        <v>56</v>
      </c>
      <c r="M25" t="s">
        <v>8</v>
      </c>
    </row>
    <row r="26" spans="1:13" x14ac:dyDescent="0.25">
      <c r="A26" t="s">
        <v>141</v>
      </c>
      <c r="B26" s="2">
        <v>45742</v>
      </c>
      <c r="C26" t="s">
        <v>1</v>
      </c>
      <c r="D26" t="s">
        <v>23</v>
      </c>
      <c r="E26" t="s">
        <v>3</v>
      </c>
      <c r="F26" t="s">
        <v>4</v>
      </c>
      <c r="G26">
        <v>60</v>
      </c>
      <c r="H26">
        <v>5</v>
      </c>
      <c r="I26">
        <v>300</v>
      </c>
      <c r="J26" t="s">
        <v>5</v>
      </c>
      <c r="K26" t="s">
        <v>67</v>
      </c>
      <c r="L26" t="s">
        <v>26</v>
      </c>
      <c r="M26" t="s">
        <v>8</v>
      </c>
    </row>
    <row r="27" spans="1:13" x14ac:dyDescent="0.25">
      <c r="A27" t="s">
        <v>268</v>
      </c>
      <c r="B27" s="2">
        <v>45742</v>
      </c>
      <c r="C27" t="s">
        <v>1</v>
      </c>
      <c r="D27" t="s">
        <v>23</v>
      </c>
      <c r="E27" t="s">
        <v>51</v>
      </c>
      <c r="F27" t="s">
        <v>32</v>
      </c>
      <c r="G27">
        <v>40</v>
      </c>
      <c r="H27">
        <v>2</v>
      </c>
      <c r="I27">
        <v>80</v>
      </c>
      <c r="J27" t="s">
        <v>71</v>
      </c>
      <c r="K27" t="s">
        <v>80</v>
      </c>
      <c r="L27" t="s">
        <v>26</v>
      </c>
      <c r="M27" t="s">
        <v>37</v>
      </c>
    </row>
    <row r="28" spans="1:13" x14ac:dyDescent="0.25">
      <c r="A28" t="s">
        <v>126</v>
      </c>
      <c r="B28" s="2">
        <v>45741</v>
      </c>
      <c r="C28" t="s">
        <v>1</v>
      </c>
      <c r="D28" t="s">
        <v>34</v>
      </c>
      <c r="E28" t="s">
        <v>63</v>
      </c>
      <c r="F28" t="s">
        <v>59</v>
      </c>
      <c r="G28">
        <v>1200</v>
      </c>
      <c r="H28">
        <v>4</v>
      </c>
      <c r="I28">
        <v>4800</v>
      </c>
      <c r="J28" t="s">
        <v>79</v>
      </c>
      <c r="K28" t="s">
        <v>25</v>
      </c>
      <c r="L28" t="s">
        <v>56</v>
      </c>
      <c r="M28" t="s">
        <v>8</v>
      </c>
    </row>
    <row r="29" spans="1:13" x14ac:dyDescent="0.25">
      <c r="A29" t="s">
        <v>146</v>
      </c>
      <c r="B29" s="2">
        <v>45741</v>
      </c>
      <c r="C29" t="s">
        <v>1</v>
      </c>
      <c r="D29" t="s">
        <v>34</v>
      </c>
      <c r="E29" t="s">
        <v>51</v>
      </c>
      <c r="F29" t="s">
        <v>32</v>
      </c>
      <c r="G29">
        <v>40</v>
      </c>
      <c r="H29">
        <v>5</v>
      </c>
      <c r="I29">
        <v>200</v>
      </c>
      <c r="J29" t="s">
        <v>55</v>
      </c>
      <c r="K29" t="s">
        <v>61</v>
      </c>
      <c r="L29" t="s">
        <v>26</v>
      </c>
      <c r="M29" t="s">
        <v>8</v>
      </c>
    </row>
    <row r="30" spans="1:13" x14ac:dyDescent="0.25">
      <c r="A30" t="s">
        <v>149</v>
      </c>
      <c r="B30" s="2">
        <v>45741</v>
      </c>
      <c r="C30" t="s">
        <v>1</v>
      </c>
      <c r="D30" t="s">
        <v>34</v>
      </c>
      <c r="E30" t="s">
        <v>47</v>
      </c>
      <c r="F30" t="s">
        <v>48</v>
      </c>
      <c r="G30">
        <v>15</v>
      </c>
      <c r="H30">
        <v>5</v>
      </c>
      <c r="I30">
        <v>75</v>
      </c>
      <c r="J30" t="s">
        <v>24</v>
      </c>
      <c r="K30" t="s">
        <v>80</v>
      </c>
      <c r="L30" t="s">
        <v>21</v>
      </c>
      <c r="M30" t="s">
        <v>15</v>
      </c>
    </row>
    <row r="31" spans="1:13" x14ac:dyDescent="0.25">
      <c r="A31" t="s">
        <v>198</v>
      </c>
      <c r="B31" s="2">
        <v>45741</v>
      </c>
      <c r="C31" t="s">
        <v>1</v>
      </c>
      <c r="D31" t="s">
        <v>34</v>
      </c>
      <c r="E31" t="s">
        <v>29</v>
      </c>
      <c r="F31" t="s">
        <v>12</v>
      </c>
      <c r="G31">
        <v>150</v>
      </c>
      <c r="H31">
        <v>2</v>
      </c>
      <c r="I31">
        <v>300</v>
      </c>
      <c r="J31" t="s">
        <v>5</v>
      </c>
      <c r="K31" t="s">
        <v>44</v>
      </c>
      <c r="L31" t="s">
        <v>7</v>
      </c>
      <c r="M31" t="s">
        <v>37</v>
      </c>
    </row>
    <row r="32" spans="1:13" x14ac:dyDescent="0.25">
      <c r="A32" t="s">
        <v>231</v>
      </c>
      <c r="B32" s="2">
        <v>45741</v>
      </c>
      <c r="C32" t="s">
        <v>1</v>
      </c>
      <c r="D32" t="s">
        <v>34</v>
      </c>
      <c r="E32" t="s">
        <v>51</v>
      </c>
      <c r="F32" t="s">
        <v>32</v>
      </c>
      <c r="G32">
        <v>40</v>
      </c>
      <c r="H32">
        <v>1</v>
      </c>
      <c r="I32">
        <v>40</v>
      </c>
      <c r="J32" t="s">
        <v>24</v>
      </c>
      <c r="K32" t="s">
        <v>61</v>
      </c>
      <c r="L32" t="s">
        <v>36</v>
      </c>
      <c r="M32" t="s">
        <v>8</v>
      </c>
    </row>
    <row r="33" spans="1:13" x14ac:dyDescent="0.25">
      <c r="A33" t="s">
        <v>235</v>
      </c>
      <c r="B33" s="2">
        <v>45741</v>
      </c>
      <c r="C33" t="s">
        <v>1</v>
      </c>
      <c r="D33" t="s">
        <v>34</v>
      </c>
      <c r="E33" t="s">
        <v>58</v>
      </c>
      <c r="F33" t="s">
        <v>59</v>
      </c>
      <c r="G33">
        <v>600</v>
      </c>
      <c r="H33">
        <v>1</v>
      </c>
      <c r="I33">
        <v>600</v>
      </c>
      <c r="J33" t="s">
        <v>5</v>
      </c>
      <c r="K33" t="s">
        <v>61</v>
      </c>
      <c r="L33" t="s">
        <v>7</v>
      </c>
      <c r="M33" t="s">
        <v>15</v>
      </c>
    </row>
    <row r="34" spans="1:13" x14ac:dyDescent="0.25">
      <c r="A34" t="s">
        <v>74</v>
      </c>
      <c r="B34" s="2">
        <v>45740</v>
      </c>
      <c r="C34" t="s">
        <v>1</v>
      </c>
      <c r="D34" t="s">
        <v>28</v>
      </c>
      <c r="E34" t="s">
        <v>63</v>
      </c>
      <c r="F34" t="s">
        <v>59</v>
      </c>
      <c r="G34">
        <v>1200</v>
      </c>
      <c r="H34">
        <v>3</v>
      </c>
      <c r="I34">
        <v>3600</v>
      </c>
      <c r="J34" t="s">
        <v>71</v>
      </c>
      <c r="K34" t="s">
        <v>25</v>
      </c>
      <c r="L34" t="s">
        <v>26</v>
      </c>
      <c r="M34" t="s">
        <v>8</v>
      </c>
    </row>
    <row r="35" spans="1:13" x14ac:dyDescent="0.25">
      <c r="A35" t="s">
        <v>83</v>
      </c>
      <c r="B35" s="2">
        <v>45740</v>
      </c>
      <c r="C35" t="s">
        <v>1</v>
      </c>
      <c r="D35" t="s">
        <v>28</v>
      </c>
      <c r="E35" t="s">
        <v>40</v>
      </c>
      <c r="F35" t="s">
        <v>12</v>
      </c>
      <c r="G35">
        <v>500</v>
      </c>
      <c r="H35">
        <v>1</v>
      </c>
      <c r="I35">
        <v>500</v>
      </c>
      <c r="J35" t="s">
        <v>19</v>
      </c>
      <c r="K35" t="s">
        <v>35</v>
      </c>
      <c r="L35" t="s">
        <v>56</v>
      </c>
      <c r="M35" t="s">
        <v>15</v>
      </c>
    </row>
    <row r="36" spans="1:13" x14ac:dyDescent="0.25">
      <c r="A36" t="s">
        <v>96</v>
      </c>
      <c r="B36" s="2">
        <v>45740</v>
      </c>
      <c r="C36" t="s">
        <v>1</v>
      </c>
      <c r="D36" t="s">
        <v>28</v>
      </c>
      <c r="E36" t="s">
        <v>29</v>
      </c>
      <c r="F36" t="s">
        <v>12</v>
      </c>
      <c r="G36">
        <v>150</v>
      </c>
      <c r="H36">
        <v>1</v>
      </c>
      <c r="I36">
        <v>150</v>
      </c>
      <c r="J36" t="s">
        <v>71</v>
      </c>
      <c r="K36" t="s">
        <v>35</v>
      </c>
      <c r="L36" t="s">
        <v>7</v>
      </c>
      <c r="M36" t="s">
        <v>15</v>
      </c>
    </row>
    <row r="37" spans="1:13" x14ac:dyDescent="0.25">
      <c r="A37" t="s">
        <v>105</v>
      </c>
      <c r="B37" s="2">
        <v>45740</v>
      </c>
      <c r="C37" t="s">
        <v>1</v>
      </c>
      <c r="D37" t="s">
        <v>28</v>
      </c>
      <c r="E37" t="s">
        <v>3</v>
      </c>
      <c r="F37" t="s">
        <v>4</v>
      </c>
      <c r="G37">
        <v>60</v>
      </c>
      <c r="H37">
        <v>4</v>
      </c>
      <c r="I37">
        <v>240</v>
      </c>
      <c r="J37" t="s">
        <v>13</v>
      </c>
      <c r="K37" t="s">
        <v>67</v>
      </c>
      <c r="L37" t="s">
        <v>36</v>
      </c>
      <c r="M37" t="s">
        <v>37</v>
      </c>
    </row>
    <row r="38" spans="1:13" x14ac:dyDescent="0.25">
      <c r="A38" t="s">
        <v>142</v>
      </c>
      <c r="B38" s="2">
        <v>45740</v>
      </c>
      <c r="C38" t="s">
        <v>1</v>
      </c>
      <c r="D38" t="s">
        <v>28</v>
      </c>
      <c r="E38" t="s">
        <v>29</v>
      </c>
      <c r="F38" t="s">
        <v>12</v>
      </c>
      <c r="G38">
        <v>150</v>
      </c>
      <c r="H38">
        <v>5</v>
      </c>
      <c r="I38">
        <v>750</v>
      </c>
      <c r="J38" t="s">
        <v>13</v>
      </c>
      <c r="K38" t="s">
        <v>35</v>
      </c>
      <c r="L38" t="s">
        <v>21</v>
      </c>
      <c r="M38" t="s">
        <v>37</v>
      </c>
    </row>
    <row r="39" spans="1:13" x14ac:dyDescent="0.25">
      <c r="A39" t="s">
        <v>220</v>
      </c>
      <c r="B39" s="2">
        <v>45740</v>
      </c>
      <c r="C39" t="s">
        <v>1</v>
      </c>
      <c r="D39" t="s">
        <v>28</v>
      </c>
      <c r="E39" t="s">
        <v>54</v>
      </c>
      <c r="F39" t="s">
        <v>12</v>
      </c>
      <c r="G39">
        <v>800</v>
      </c>
      <c r="H39">
        <v>5</v>
      </c>
      <c r="I39">
        <v>4000</v>
      </c>
      <c r="J39" t="s">
        <v>52</v>
      </c>
      <c r="K39" t="s">
        <v>42</v>
      </c>
      <c r="L39" t="s">
        <v>7</v>
      </c>
      <c r="M39" t="s">
        <v>15</v>
      </c>
    </row>
    <row r="40" spans="1:13" x14ac:dyDescent="0.25">
      <c r="A40" t="s">
        <v>227</v>
      </c>
      <c r="B40" s="2">
        <v>45740</v>
      </c>
      <c r="C40" t="s">
        <v>1</v>
      </c>
      <c r="D40" t="s">
        <v>28</v>
      </c>
      <c r="E40" t="s">
        <v>51</v>
      </c>
      <c r="F40" t="s">
        <v>32</v>
      </c>
      <c r="G40">
        <v>40</v>
      </c>
      <c r="H40">
        <v>5</v>
      </c>
      <c r="I40">
        <v>200</v>
      </c>
      <c r="J40" t="s">
        <v>49</v>
      </c>
      <c r="K40" t="s">
        <v>6</v>
      </c>
      <c r="L40" t="s">
        <v>7</v>
      </c>
      <c r="M40" t="s">
        <v>8</v>
      </c>
    </row>
    <row r="41" spans="1:13" x14ac:dyDescent="0.25">
      <c r="A41" t="s">
        <v>275</v>
      </c>
      <c r="B41" s="2">
        <v>45740</v>
      </c>
      <c r="C41" t="s">
        <v>1</v>
      </c>
      <c r="D41" t="s">
        <v>28</v>
      </c>
      <c r="E41" t="s">
        <v>51</v>
      </c>
      <c r="F41" t="s">
        <v>32</v>
      </c>
      <c r="G41">
        <v>40</v>
      </c>
      <c r="H41">
        <v>2</v>
      </c>
      <c r="I41">
        <v>80</v>
      </c>
      <c r="J41" t="s">
        <v>49</v>
      </c>
      <c r="K41" t="s">
        <v>20</v>
      </c>
      <c r="L41" t="s">
        <v>21</v>
      </c>
      <c r="M41" t="s">
        <v>8</v>
      </c>
    </row>
    <row r="42" spans="1:13" x14ac:dyDescent="0.25">
      <c r="A42" t="s">
        <v>180</v>
      </c>
      <c r="B42" s="2">
        <v>45739</v>
      </c>
      <c r="C42" t="s">
        <v>1</v>
      </c>
      <c r="D42" t="s">
        <v>39</v>
      </c>
      <c r="E42" t="s">
        <v>29</v>
      </c>
      <c r="F42" t="s">
        <v>12</v>
      </c>
      <c r="G42">
        <v>150</v>
      </c>
      <c r="H42">
        <v>2</v>
      </c>
      <c r="I42">
        <v>300</v>
      </c>
      <c r="J42" t="s">
        <v>13</v>
      </c>
      <c r="K42" t="s">
        <v>25</v>
      </c>
      <c r="L42" t="s">
        <v>36</v>
      </c>
      <c r="M42" t="s">
        <v>8</v>
      </c>
    </row>
    <row r="43" spans="1:13" x14ac:dyDescent="0.25">
      <c r="A43" t="s">
        <v>262</v>
      </c>
      <c r="B43" s="2">
        <v>45739</v>
      </c>
      <c r="C43" t="s">
        <v>1</v>
      </c>
      <c r="D43" t="s">
        <v>39</v>
      </c>
      <c r="E43" t="s">
        <v>54</v>
      </c>
      <c r="F43" t="s">
        <v>12</v>
      </c>
      <c r="G43">
        <v>800</v>
      </c>
      <c r="H43">
        <v>3</v>
      </c>
      <c r="I43">
        <v>2400</v>
      </c>
      <c r="J43" t="s">
        <v>79</v>
      </c>
      <c r="K43" t="s">
        <v>6</v>
      </c>
      <c r="L43" t="s">
        <v>36</v>
      </c>
      <c r="M43" t="s">
        <v>37</v>
      </c>
    </row>
    <row r="44" spans="1:13" x14ac:dyDescent="0.25">
      <c r="A44" t="s">
        <v>287</v>
      </c>
      <c r="B44" s="2">
        <v>45739</v>
      </c>
      <c r="C44" t="s">
        <v>1</v>
      </c>
      <c r="D44" t="s">
        <v>39</v>
      </c>
      <c r="E44" t="s">
        <v>63</v>
      </c>
      <c r="F44" t="s">
        <v>59</v>
      </c>
      <c r="G44">
        <v>1200</v>
      </c>
      <c r="H44">
        <v>1</v>
      </c>
      <c r="I44">
        <v>1200</v>
      </c>
      <c r="J44" t="s">
        <v>55</v>
      </c>
      <c r="K44" t="s">
        <v>25</v>
      </c>
      <c r="L44" t="s">
        <v>36</v>
      </c>
      <c r="M44" t="s">
        <v>37</v>
      </c>
    </row>
    <row r="45" spans="1:13" x14ac:dyDescent="0.25">
      <c r="A45" t="s">
        <v>68</v>
      </c>
      <c r="B45" s="2">
        <v>45738</v>
      </c>
      <c r="C45" t="s">
        <v>1</v>
      </c>
      <c r="D45" t="s">
        <v>18</v>
      </c>
      <c r="E45" t="s">
        <v>3</v>
      </c>
      <c r="F45" t="s">
        <v>4</v>
      </c>
      <c r="G45">
        <v>60</v>
      </c>
      <c r="H45">
        <v>3</v>
      </c>
      <c r="I45">
        <v>180</v>
      </c>
      <c r="J45" t="s">
        <v>24</v>
      </c>
      <c r="K45" t="s">
        <v>35</v>
      </c>
      <c r="L45" t="s">
        <v>26</v>
      </c>
      <c r="M45" t="s">
        <v>37</v>
      </c>
    </row>
    <row r="46" spans="1:13" x14ac:dyDescent="0.25">
      <c r="A46" t="s">
        <v>237</v>
      </c>
      <c r="B46" s="2">
        <v>45738</v>
      </c>
      <c r="C46" t="s">
        <v>1</v>
      </c>
      <c r="D46" t="s">
        <v>18</v>
      </c>
      <c r="E46" t="s">
        <v>31</v>
      </c>
      <c r="F46" t="s">
        <v>32</v>
      </c>
      <c r="G46">
        <v>20</v>
      </c>
      <c r="H46">
        <v>1</v>
      </c>
      <c r="I46">
        <v>20</v>
      </c>
      <c r="J46" t="s">
        <v>71</v>
      </c>
      <c r="K46" t="s">
        <v>25</v>
      </c>
      <c r="L46" t="s">
        <v>7</v>
      </c>
      <c r="M46" t="s">
        <v>37</v>
      </c>
    </row>
    <row r="47" spans="1:13" x14ac:dyDescent="0.25">
      <c r="A47" t="s">
        <v>291</v>
      </c>
      <c r="B47" s="2">
        <v>45738</v>
      </c>
      <c r="C47" t="s">
        <v>1</v>
      </c>
      <c r="D47" t="s">
        <v>18</v>
      </c>
      <c r="E47" t="s">
        <v>29</v>
      </c>
      <c r="F47" t="s">
        <v>12</v>
      </c>
      <c r="G47">
        <v>150</v>
      </c>
      <c r="H47">
        <v>5</v>
      </c>
      <c r="I47">
        <v>750</v>
      </c>
      <c r="J47" t="s">
        <v>55</v>
      </c>
      <c r="K47" t="s">
        <v>35</v>
      </c>
      <c r="L47" t="s">
        <v>21</v>
      </c>
      <c r="M47" t="s">
        <v>37</v>
      </c>
    </row>
    <row r="48" spans="1:13" x14ac:dyDescent="0.25">
      <c r="A48" t="s">
        <v>167</v>
      </c>
      <c r="B48" s="2">
        <v>45737</v>
      </c>
      <c r="C48" t="s">
        <v>1</v>
      </c>
      <c r="D48" t="s">
        <v>2</v>
      </c>
      <c r="E48" t="s">
        <v>3</v>
      </c>
      <c r="F48" t="s">
        <v>4</v>
      </c>
      <c r="G48">
        <v>60</v>
      </c>
      <c r="H48">
        <v>3</v>
      </c>
      <c r="I48">
        <v>180</v>
      </c>
      <c r="J48" t="s">
        <v>24</v>
      </c>
      <c r="K48" t="s">
        <v>42</v>
      </c>
      <c r="L48" t="s">
        <v>21</v>
      </c>
      <c r="M48" t="s">
        <v>37</v>
      </c>
    </row>
    <row r="49" spans="1:13" x14ac:dyDescent="0.25">
      <c r="A49" t="s">
        <v>193</v>
      </c>
      <c r="B49" s="2">
        <v>45737</v>
      </c>
      <c r="C49" t="s">
        <v>1</v>
      </c>
      <c r="D49" t="s">
        <v>2</v>
      </c>
      <c r="E49" t="s">
        <v>40</v>
      </c>
      <c r="F49" t="s">
        <v>12</v>
      </c>
      <c r="G49">
        <v>500</v>
      </c>
      <c r="H49">
        <v>2</v>
      </c>
      <c r="I49">
        <v>1000</v>
      </c>
      <c r="J49" t="s">
        <v>19</v>
      </c>
      <c r="K49" t="s">
        <v>42</v>
      </c>
      <c r="L49" t="s">
        <v>36</v>
      </c>
      <c r="M49" t="s">
        <v>37</v>
      </c>
    </row>
    <row r="50" spans="1:13" x14ac:dyDescent="0.25">
      <c r="A50" t="s">
        <v>259</v>
      </c>
      <c r="B50" s="2">
        <v>45737</v>
      </c>
      <c r="C50" t="s">
        <v>1</v>
      </c>
      <c r="D50" t="s">
        <v>2</v>
      </c>
      <c r="E50" t="s">
        <v>58</v>
      </c>
      <c r="F50" t="s">
        <v>59</v>
      </c>
      <c r="G50">
        <v>600</v>
      </c>
      <c r="H50">
        <v>1</v>
      </c>
      <c r="I50">
        <v>600</v>
      </c>
      <c r="J50" t="s">
        <v>19</v>
      </c>
      <c r="K50" t="s">
        <v>42</v>
      </c>
      <c r="L50" t="s">
        <v>26</v>
      </c>
      <c r="M50" t="s">
        <v>37</v>
      </c>
    </row>
    <row r="51" spans="1:13" x14ac:dyDescent="0.25">
      <c r="A51" t="s">
        <v>281</v>
      </c>
      <c r="B51" s="2">
        <v>45737</v>
      </c>
      <c r="C51" t="s">
        <v>1</v>
      </c>
      <c r="D51" t="s">
        <v>2</v>
      </c>
      <c r="E51" t="s">
        <v>3</v>
      </c>
      <c r="F51" t="s">
        <v>4</v>
      </c>
      <c r="G51">
        <v>60</v>
      </c>
      <c r="H51">
        <v>3</v>
      </c>
      <c r="I51">
        <v>180</v>
      </c>
      <c r="J51" t="s">
        <v>5</v>
      </c>
      <c r="K51" t="s">
        <v>14</v>
      </c>
      <c r="L51" t="s">
        <v>26</v>
      </c>
      <c r="M51" t="s">
        <v>15</v>
      </c>
    </row>
    <row r="52" spans="1:13" x14ac:dyDescent="0.25">
      <c r="A52" t="s">
        <v>9</v>
      </c>
      <c r="B52" s="2">
        <v>45736</v>
      </c>
      <c r="C52" t="s">
        <v>1</v>
      </c>
      <c r="D52" t="s">
        <v>10</v>
      </c>
      <c r="E52" t="s">
        <v>11</v>
      </c>
      <c r="F52" t="s">
        <v>12</v>
      </c>
      <c r="G52">
        <v>100</v>
      </c>
      <c r="H52">
        <v>4</v>
      </c>
      <c r="I52">
        <v>400</v>
      </c>
      <c r="J52" t="s">
        <v>13</v>
      </c>
      <c r="K52" t="s">
        <v>14</v>
      </c>
      <c r="L52" t="s">
        <v>7</v>
      </c>
      <c r="M52" t="s">
        <v>15</v>
      </c>
    </row>
    <row r="53" spans="1:13" x14ac:dyDescent="0.25">
      <c r="A53" t="s">
        <v>129</v>
      </c>
      <c r="B53" s="2">
        <v>45736</v>
      </c>
      <c r="C53" t="s">
        <v>1</v>
      </c>
      <c r="D53" t="s">
        <v>10</v>
      </c>
      <c r="E53" t="s">
        <v>11</v>
      </c>
      <c r="F53" t="s">
        <v>12</v>
      </c>
      <c r="G53">
        <v>100</v>
      </c>
      <c r="H53">
        <v>2</v>
      </c>
      <c r="I53">
        <v>200</v>
      </c>
      <c r="J53" t="s">
        <v>55</v>
      </c>
      <c r="K53" t="s">
        <v>35</v>
      </c>
      <c r="L53" t="s">
        <v>26</v>
      </c>
      <c r="M53" t="s">
        <v>37</v>
      </c>
    </row>
    <row r="54" spans="1:13" x14ac:dyDescent="0.25">
      <c r="A54" t="s">
        <v>189</v>
      </c>
      <c r="B54" s="2">
        <v>45736</v>
      </c>
      <c r="C54" t="s">
        <v>1</v>
      </c>
      <c r="D54" t="s">
        <v>10</v>
      </c>
      <c r="E54" t="s">
        <v>29</v>
      </c>
      <c r="F54" t="s">
        <v>12</v>
      </c>
      <c r="G54">
        <v>150</v>
      </c>
      <c r="H54">
        <v>3</v>
      </c>
      <c r="I54">
        <v>450</v>
      </c>
      <c r="J54" t="s">
        <v>41</v>
      </c>
      <c r="K54" t="s">
        <v>14</v>
      </c>
      <c r="L54" t="s">
        <v>7</v>
      </c>
      <c r="M54" t="s">
        <v>37</v>
      </c>
    </row>
    <row r="55" spans="1:13" x14ac:dyDescent="0.25">
      <c r="A55" t="s">
        <v>201</v>
      </c>
      <c r="B55" s="2">
        <v>45736</v>
      </c>
      <c r="C55" t="s">
        <v>1</v>
      </c>
      <c r="D55" t="s">
        <v>10</v>
      </c>
      <c r="E55" t="s">
        <v>3</v>
      </c>
      <c r="F55" t="s">
        <v>4</v>
      </c>
      <c r="G55">
        <v>60</v>
      </c>
      <c r="H55">
        <v>3</v>
      </c>
      <c r="I55">
        <v>180</v>
      </c>
      <c r="J55" t="s">
        <v>52</v>
      </c>
      <c r="K55" t="s">
        <v>6</v>
      </c>
      <c r="L55" t="s">
        <v>56</v>
      </c>
      <c r="M55" t="s">
        <v>15</v>
      </c>
    </row>
    <row r="56" spans="1:13" x14ac:dyDescent="0.25">
      <c r="A56" t="s">
        <v>219</v>
      </c>
      <c r="B56" s="2">
        <v>45736</v>
      </c>
      <c r="C56" t="s">
        <v>1</v>
      </c>
      <c r="D56" t="s">
        <v>10</v>
      </c>
      <c r="E56" t="s">
        <v>63</v>
      </c>
      <c r="F56" t="s">
        <v>59</v>
      </c>
      <c r="G56">
        <v>1200</v>
      </c>
      <c r="H56">
        <v>2</v>
      </c>
      <c r="I56">
        <v>2400</v>
      </c>
      <c r="J56" t="s">
        <v>24</v>
      </c>
      <c r="K56" t="s">
        <v>61</v>
      </c>
      <c r="L56" t="s">
        <v>26</v>
      </c>
      <c r="M56" t="s">
        <v>37</v>
      </c>
    </row>
    <row r="57" spans="1:13" x14ac:dyDescent="0.25">
      <c r="A57" t="s">
        <v>108</v>
      </c>
      <c r="B57" s="2">
        <v>45735</v>
      </c>
      <c r="C57" t="s">
        <v>1</v>
      </c>
      <c r="D57" t="s">
        <v>23</v>
      </c>
      <c r="E57" t="s">
        <v>29</v>
      </c>
      <c r="F57" t="s">
        <v>12</v>
      </c>
      <c r="G57">
        <v>150</v>
      </c>
      <c r="H57">
        <v>2</v>
      </c>
      <c r="I57">
        <v>300</v>
      </c>
      <c r="J57" t="s">
        <v>5</v>
      </c>
      <c r="K57" t="s">
        <v>25</v>
      </c>
      <c r="L57" t="s">
        <v>26</v>
      </c>
      <c r="M57" t="s">
        <v>37</v>
      </c>
    </row>
    <row r="58" spans="1:13" x14ac:dyDescent="0.25">
      <c r="A58" t="s">
        <v>159</v>
      </c>
      <c r="B58" s="2">
        <v>45735</v>
      </c>
      <c r="C58" t="s">
        <v>1</v>
      </c>
      <c r="D58" t="s">
        <v>23</v>
      </c>
      <c r="E58" t="s">
        <v>51</v>
      </c>
      <c r="F58" t="s">
        <v>32</v>
      </c>
      <c r="G58">
        <v>40</v>
      </c>
      <c r="H58">
        <v>3</v>
      </c>
      <c r="I58">
        <v>120</v>
      </c>
      <c r="J58" t="s">
        <v>24</v>
      </c>
      <c r="K58" t="s">
        <v>25</v>
      </c>
      <c r="L58" t="s">
        <v>26</v>
      </c>
      <c r="M58" t="s">
        <v>8</v>
      </c>
    </row>
    <row r="59" spans="1:13" x14ac:dyDescent="0.25">
      <c r="A59" t="s">
        <v>165</v>
      </c>
      <c r="B59" s="2">
        <v>45735</v>
      </c>
      <c r="C59" t="s">
        <v>1</v>
      </c>
      <c r="D59" t="s">
        <v>23</v>
      </c>
      <c r="E59" t="s">
        <v>47</v>
      </c>
      <c r="F59" t="s">
        <v>48</v>
      </c>
      <c r="G59">
        <v>15</v>
      </c>
      <c r="H59">
        <v>5</v>
      </c>
      <c r="I59">
        <v>75</v>
      </c>
      <c r="J59" t="s">
        <v>49</v>
      </c>
      <c r="K59" t="s">
        <v>14</v>
      </c>
      <c r="L59" t="s">
        <v>7</v>
      </c>
      <c r="M59" t="s">
        <v>15</v>
      </c>
    </row>
    <row r="60" spans="1:13" x14ac:dyDescent="0.25">
      <c r="A60" t="s">
        <v>168</v>
      </c>
      <c r="B60" s="2">
        <v>45735</v>
      </c>
      <c r="C60" t="s">
        <v>1</v>
      </c>
      <c r="D60" t="s">
        <v>23</v>
      </c>
      <c r="E60" t="s">
        <v>54</v>
      </c>
      <c r="F60" t="s">
        <v>12</v>
      </c>
      <c r="G60">
        <v>800</v>
      </c>
      <c r="H60">
        <v>4</v>
      </c>
      <c r="I60">
        <v>3200</v>
      </c>
      <c r="J60" t="s">
        <v>5</v>
      </c>
      <c r="K60" t="s">
        <v>67</v>
      </c>
      <c r="L60" t="s">
        <v>21</v>
      </c>
      <c r="M60" t="s">
        <v>37</v>
      </c>
    </row>
    <row r="61" spans="1:13" x14ac:dyDescent="0.25">
      <c r="A61" t="s">
        <v>192</v>
      </c>
      <c r="B61" s="2">
        <v>45735</v>
      </c>
      <c r="C61" t="s">
        <v>1</v>
      </c>
      <c r="D61" t="s">
        <v>23</v>
      </c>
      <c r="E61" t="s">
        <v>29</v>
      </c>
      <c r="F61" t="s">
        <v>12</v>
      </c>
      <c r="G61">
        <v>150</v>
      </c>
      <c r="H61">
        <v>2</v>
      </c>
      <c r="I61">
        <v>300</v>
      </c>
      <c r="J61" t="s">
        <v>24</v>
      </c>
      <c r="K61" t="s">
        <v>42</v>
      </c>
      <c r="L61" t="s">
        <v>7</v>
      </c>
      <c r="M61" t="s">
        <v>37</v>
      </c>
    </row>
    <row r="62" spans="1:13" x14ac:dyDescent="0.25">
      <c r="A62" t="s">
        <v>269</v>
      </c>
      <c r="B62" s="2">
        <v>45735</v>
      </c>
      <c r="C62" t="s">
        <v>1</v>
      </c>
      <c r="D62" t="s">
        <v>23</v>
      </c>
      <c r="E62" t="s">
        <v>3</v>
      </c>
      <c r="F62" t="s">
        <v>4</v>
      </c>
      <c r="G62">
        <v>60</v>
      </c>
      <c r="H62">
        <v>2</v>
      </c>
      <c r="I62">
        <v>120</v>
      </c>
      <c r="J62" t="s">
        <v>5</v>
      </c>
      <c r="K62" t="s">
        <v>44</v>
      </c>
      <c r="L62" t="s">
        <v>56</v>
      </c>
      <c r="M62" t="s">
        <v>15</v>
      </c>
    </row>
    <row r="63" spans="1:13" x14ac:dyDescent="0.25">
      <c r="A63" t="s">
        <v>33</v>
      </c>
      <c r="B63" s="2">
        <v>45734</v>
      </c>
      <c r="C63" t="s">
        <v>1</v>
      </c>
      <c r="D63" t="s">
        <v>34</v>
      </c>
      <c r="E63" t="s">
        <v>29</v>
      </c>
      <c r="F63" t="s">
        <v>12</v>
      </c>
      <c r="G63">
        <v>150</v>
      </c>
      <c r="H63">
        <v>4</v>
      </c>
      <c r="I63">
        <v>600</v>
      </c>
      <c r="J63" t="s">
        <v>5</v>
      </c>
      <c r="K63" t="s">
        <v>35</v>
      </c>
      <c r="L63" t="s">
        <v>36</v>
      </c>
      <c r="M63" t="s">
        <v>37</v>
      </c>
    </row>
    <row r="64" spans="1:13" x14ac:dyDescent="0.25">
      <c r="A64" t="s">
        <v>130</v>
      </c>
      <c r="B64" s="2">
        <v>45734</v>
      </c>
      <c r="C64" t="s">
        <v>1</v>
      </c>
      <c r="D64" t="s">
        <v>34</v>
      </c>
      <c r="E64" t="s">
        <v>29</v>
      </c>
      <c r="F64" t="s">
        <v>12</v>
      </c>
      <c r="G64">
        <v>150</v>
      </c>
      <c r="H64">
        <v>2</v>
      </c>
      <c r="I64">
        <v>300</v>
      </c>
      <c r="J64" t="s">
        <v>5</v>
      </c>
      <c r="K64" t="s">
        <v>67</v>
      </c>
      <c r="L64" t="s">
        <v>56</v>
      </c>
      <c r="M64" t="s">
        <v>8</v>
      </c>
    </row>
    <row r="65" spans="1:13" x14ac:dyDescent="0.25">
      <c r="A65" t="s">
        <v>191</v>
      </c>
      <c r="B65" s="2">
        <v>45734</v>
      </c>
      <c r="C65" t="s">
        <v>1</v>
      </c>
      <c r="D65" t="s">
        <v>34</v>
      </c>
      <c r="E65" t="s">
        <v>54</v>
      </c>
      <c r="F65" t="s">
        <v>12</v>
      </c>
      <c r="G65">
        <v>800</v>
      </c>
      <c r="H65">
        <v>2</v>
      </c>
      <c r="I65">
        <v>1600</v>
      </c>
      <c r="J65" t="s">
        <v>52</v>
      </c>
      <c r="K65" t="s">
        <v>20</v>
      </c>
      <c r="L65" t="s">
        <v>36</v>
      </c>
      <c r="M65" t="s">
        <v>8</v>
      </c>
    </row>
    <row r="66" spans="1:13" x14ac:dyDescent="0.25">
      <c r="A66" t="s">
        <v>276</v>
      </c>
      <c r="B66" s="2">
        <v>45734</v>
      </c>
      <c r="C66" t="s">
        <v>1</v>
      </c>
      <c r="D66" t="s">
        <v>34</v>
      </c>
      <c r="E66" t="s">
        <v>63</v>
      </c>
      <c r="F66" t="s">
        <v>59</v>
      </c>
      <c r="G66">
        <v>1200</v>
      </c>
      <c r="H66">
        <v>1</v>
      </c>
      <c r="I66">
        <v>1200</v>
      </c>
      <c r="J66" t="s">
        <v>79</v>
      </c>
      <c r="K66" t="s">
        <v>42</v>
      </c>
      <c r="L66" t="s">
        <v>36</v>
      </c>
      <c r="M66" t="s">
        <v>37</v>
      </c>
    </row>
    <row r="67" spans="1:13" x14ac:dyDescent="0.25">
      <c r="A67" t="s">
        <v>94</v>
      </c>
      <c r="B67" s="2">
        <v>45733</v>
      </c>
      <c r="C67" t="s">
        <v>1</v>
      </c>
      <c r="D67" t="s">
        <v>28</v>
      </c>
      <c r="E67" t="s">
        <v>11</v>
      </c>
      <c r="F67" t="s">
        <v>12</v>
      </c>
      <c r="G67">
        <v>100</v>
      </c>
      <c r="H67">
        <v>3</v>
      </c>
      <c r="I67">
        <v>300</v>
      </c>
      <c r="J67" t="s">
        <v>79</v>
      </c>
      <c r="K67" t="s">
        <v>80</v>
      </c>
      <c r="L67" t="s">
        <v>21</v>
      </c>
      <c r="M67" t="s">
        <v>8</v>
      </c>
    </row>
    <row r="68" spans="1:13" x14ac:dyDescent="0.25">
      <c r="A68" t="s">
        <v>161</v>
      </c>
      <c r="B68" s="2">
        <v>45733</v>
      </c>
      <c r="C68" t="s">
        <v>1</v>
      </c>
      <c r="D68" t="s">
        <v>28</v>
      </c>
      <c r="E68" t="s">
        <v>51</v>
      </c>
      <c r="F68" t="s">
        <v>32</v>
      </c>
      <c r="G68">
        <v>40</v>
      </c>
      <c r="H68">
        <v>5</v>
      </c>
      <c r="I68">
        <v>200</v>
      </c>
      <c r="J68" t="s">
        <v>52</v>
      </c>
      <c r="K68" t="s">
        <v>6</v>
      </c>
      <c r="L68" t="s">
        <v>36</v>
      </c>
      <c r="M68" t="s">
        <v>37</v>
      </c>
    </row>
    <row r="69" spans="1:13" x14ac:dyDescent="0.25">
      <c r="A69" t="s">
        <v>298</v>
      </c>
      <c r="B69" s="2">
        <v>45733</v>
      </c>
      <c r="C69" t="s">
        <v>1</v>
      </c>
      <c r="D69" t="s">
        <v>28</v>
      </c>
      <c r="E69" t="s">
        <v>31</v>
      </c>
      <c r="F69" t="s">
        <v>32</v>
      </c>
      <c r="G69">
        <v>20</v>
      </c>
      <c r="H69">
        <v>2</v>
      </c>
      <c r="I69">
        <v>40</v>
      </c>
      <c r="J69" t="s">
        <v>55</v>
      </c>
      <c r="K69" t="s">
        <v>42</v>
      </c>
      <c r="L69" t="s">
        <v>7</v>
      </c>
      <c r="M69" t="s">
        <v>8</v>
      </c>
    </row>
    <row r="70" spans="1:13" x14ac:dyDescent="0.25">
      <c r="A70" t="s">
        <v>117</v>
      </c>
      <c r="B70" s="2">
        <v>45732</v>
      </c>
      <c r="C70" t="s">
        <v>1</v>
      </c>
      <c r="D70" t="s">
        <v>39</v>
      </c>
      <c r="E70" t="s">
        <v>47</v>
      </c>
      <c r="F70" t="s">
        <v>48</v>
      </c>
      <c r="G70">
        <v>15</v>
      </c>
      <c r="H70">
        <v>3</v>
      </c>
      <c r="I70">
        <v>45</v>
      </c>
      <c r="J70" t="s">
        <v>5</v>
      </c>
      <c r="K70" t="s">
        <v>14</v>
      </c>
      <c r="L70" t="s">
        <v>21</v>
      </c>
      <c r="M70" t="s">
        <v>15</v>
      </c>
    </row>
    <row r="71" spans="1:13" x14ac:dyDescent="0.25">
      <c r="A71" t="s">
        <v>123</v>
      </c>
      <c r="B71" s="2">
        <v>45732</v>
      </c>
      <c r="C71" t="s">
        <v>1</v>
      </c>
      <c r="D71" t="s">
        <v>39</v>
      </c>
      <c r="E71" t="s">
        <v>29</v>
      </c>
      <c r="F71" t="s">
        <v>12</v>
      </c>
      <c r="G71">
        <v>150</v>
      </c>
      <c r="H71">
        <v>5</v>
      </c>
      <c r="I71">
        <v>750</v>
      </c>
      <c r="J71" t="s">
        <v>19</v>
      </c>
      <c r="K71" t="s">
        <v>20</v>
      </c>
      <c r="L71" t="s">
        <v>26</v>
      </c>
      <c r="M71" t="s">
        <v>15</v>
      </c>
    </row>
    <row r="72" spans="1:13" x14ac:dyDescent="0.25">
      <c r="A72" t="s">
        <v>157</v>
      </c>
      <c r="B72" s="2">
        <v>45732</v>
      </c>
      <c r="C72" t="s">
        <v>1</v>
      </c>
      <c r="D72" t="s">
        <v>39</v>
      </c>
      <c r="E72" t="s">
        <v>51</v>
      </c>
      <c r="F72" t="s">
        <v>32</v>
      </c>
      <c r="G72">
        <v>40</v>
      </c>
      <c r="H72">
        <v>1</v>
      </c>
      <c r="I72">
        <v>40</v>
      </c>
      <c r="J72" t="s">
        <v>79</v>
      </c>
      <c r="K72" t="s">
        <v>44</v>
      </c>
      <c r="L72" t="s">
        <v>7</v>
      </c>
      <c r="M72" t="s">
        <v>15</v>
      </c>
    </row>
    <row r="73" spans="1:13" x14ac:dyDescent="0.25">
      <c r="A73" t="s">
        <v>160</v>
      </c>
      <c r="B73" s="2">
        <v>45732</v>
      </c>
      <c r="C73" t="s">
        <v>1</v>
      </c>
      <c r="D73" t="s">
        <v>39</v>
      </c>
      <c r="E73" t="s">
        <v>11</v>
      </c>
      <c r="F73" t="s">
        <v>12</v>
      </c>
      <c r="G73">
        <v>100</v>
      </c>
      <c r="H73">
        <v>2</v>
      </c>
      <c r="I73">
        <v>200</v>
      </c>
      <c r="J73" t="s">
        <v>55</v>
      </c>
      <c r="K73" t="s">
        <v>42</v>
      </c>
      <c r="L73" t="s">
        <v>36</v>
      </c>
      <c r="M73" t="s">
        <v>15</v>
      </c>
    </row>
    <row r="74" spans="1:13" x14ac:dyDescent="0.25">
      <c r="A74" t="s">
        <v>171</v>
      </c>
      <c r="B74" s="2">
        <v>45732</v>
      </c>
      <c r="C74" t="s">
        <v>1</v>
      </c>
      <c r="D74" t="s">
        <v>39</v>
      </c>
      <c r="E74" t="s">
        <v>40</v>
      </c>
      <c r="F74" t="s">
        <v>12</v>
      </c>
      <c r="G74">
        <v>500</v>
      </c>
      <c r="H74">
        <v>2</v>
      </c>
      <c r="I74">
        <v>1000</v>
      </c>
      <c r="J74" t="s">
        <v>71</v>
      </c>
      <c r="K74" t="s">
        <v>80</v>
      </c>
      <c r="L74" t="s">
        <v>36</v>
      </c>
      <c r="M74" t="s">
        <v>15</v>
      </c>
    </row>
    <row r="75" spans="1:13" x14ac:dyDescent="0.25">
      <c r="A75" t="s">
        <v>208</v>
      </c>
      <c r="B75" s="2">
        <v>45732</v>
      </c>
      <c r="C75" t="s">
        <v>1</v>
      </c>
      <c r="D75" t="s">
        <v>39</v>
      </c>
      <c r="E75" t="s">
        <v>29</v>
      </c>
      <c r="F75" t="s">
        <v>12</v>
      </c>
      <c r="G75">
        <v>150</v>
      </c>
      <c r="H75">
        <v>4</v>
      </c>
      <c r="I75">
        <v>600</v>
      </c>
      <c r="J75" t="s">
        <v>24</v>
      </c>
      <c r="K75" t="s">
        <v>42</v>
      </c>
      <c r="L75" t="s">
        <v>36</v>
      </c>
      <c r="M75" t="s">
        <v>8</v>
      </c>
    </row>
    <row r="76" spans="1:13" x14ac:dyDescent="0.25">
      <c r="A76" t="s">
        <v>290</v>
      </c>
      <c r="B76" s="2">
        <v>45732</v>
      </c>
      <c r="C76" t="s">
        <v>1</v>
      </c>
      <c r="D76" t="s">
        <v>39</v>
      </c>
      <c r="E76" t="s">
        <v>11</v>
      </c>
      <c r="F76" t="s">
        <v>12</v>
      </c>
      <c r="G76">
        <v>100</v>
      </c>
      <c r="H76">
        <v>1</v>
      </c>
      <c r="I76">
        <v>100</v>
      </c>
      <c r="J76" t="s">
        <v>24</v>
      </c>
      <c r="K76" t="s">
        <v>20</v>
      </c>
      <c r="L76" t="s">
        <v>36</v>
      </c>
      <c r="M76" t="s">
        <v>37</v>
      </c>
    </row>
    <row r="77" spans="1:13" x14ac:dyDescent="0.25">
      <c r="A77" t="s">
        <v>97</v>
      </c>
      <c r="B77" s="2">
        <v>45731</v>
      </c>
      <c r="C77" t="s">
        <v>1</v>
      </c>
      <c r="D77" t="s">
        <v>18</v>
      </c>
      <c r="E77" t="s">
        <v>63</v>
      </c>
      <c r="F77" t="s">
        <v>59</v>
      </c>
      <c r="G77">
        <v>1200</v>
      </c>
      <c r="H77">
        <v>3</v>
      </c>
      <c r="I77">
        <v>3600</v>
      </c>
      <c r="J77" t="s">
        <v>55</v>
      </c>
      <c r="K77" t="s">
        <v>6</v>
      </c>
      <c r="L77" t="s">
        <v>26</v>
      </c>
      <c r="M77" t="s">
        <v>15</v>
      </c>
    </row>
    <row r="78" spans="1:13" x14ac:dyDescent="0.25">
      <c r="A78" t="s">
        <v>106</v>
      </c>
      <c r="B78" s="2">
        <v>45731</v>
      </c>
      <c r="C78" t="s">
        <v>1</v>
      </c>
      <c r="D78" t="s">
        <v>18</v>
      </c>
      <c r="E78" t="s">
        <v>29</v>
      </c>
      <c r="F78" t="s">
        <v>12</v>
      </c>
      <c r="G78">
        <v>150</v>
      </c>
      <c r="H78">
        <v>3</v>
      </c>
      <c r="I78">
        <v>450</v>
      </c>
      <c r="J78" t="s">
        <v>49</v>
      </c>
      <c r="K78" t="s">
        <v>44</v>
      </c>
      <c r="L78" t="s">
        <v>56</v>
      </c>
      <c r="M78" t="s">
        <v>15</v>
      </c>
    </row>
    <row r="79" spans="1:13" x14ac:dyDescent="0.25">
      <c r="A79" t="s">
        <v>107</v>
      </c>
      <c r="B79" s="2">
        <v>45731</v>
      </c>
      <c r="C79" t="s">
        <v>1</v>
      </c>
      <c r="D79" t="s">
        <v>18</v>
      </c>
      <c r="E79" t="s">
        <v>51</v>
      </c>
      <c r="F79" t="s">
        <v>32</v>
      </c>
      <c r="G79">
        <v>40</v>
      </c>
      <c r="H79">
        <v>2</v>
      </c>
      <c r="I79">
        <v>80</v>
      </c>
      <c r="J79" t="s">
        <v>41</v>
      </c>
      <c r="K79" t="s">
        <v>25</v>
      </c>
      <c r="L79" t="s">
        <v>36</v>
      </c>
      <c r="M79" t="s">
        <v>37</v>
      </c>
    </row>
    <row r="80" spans="1:13" x14ac:dyDescent="0.25">
      <c r="A80" t="s">
        <v>109</v>
      </c>
      <c r="B80" s="2">
        <v>45731</v>
      </c>
      <c r="C80" t="s">
        <v>1</v>
      </c>
      <c r="D80" t="s">
        <v>18</v>
      </c>
      <c r="E80" t="s">
        <v>40</v>
      </c>
      <c r="F80" t="s">
        <v>12</v>
      </c>
      <c r="G80">
        <v>500</v>
      </c>
      <c r="H80">
        <v>1</v>
      </c>
      <c r="I80">
        <v>500</v>
      </c>
      <c r="J80" t="s">
        <v>79</v>
      </c>
      <c r="K80" t="s">
        <v>67</v>
      </c>
      <c r="L80" t="s">
        <v>7</v>
      </c>
      <c r="M80" t="s">
        <v>8</v>
      </c>
    </row>
    <row r="81" spans="1:13" x14ac:dyDescent="0.25">
      <c r="A81" t="s">
        <v>144</v>
      </c>
      <c r="B81" s="2">
        <v>45731</v>
      </c>
      <c r="C81" t="s">
        <v>1</v>
      </c>
      <c r="D81" t="s">
        <v>18</v>
      </c>
      <c r="E81" t="s">
        <v>40</v>
      </c>
      <c r="F81" t="s">
        <v>12</v>
      </c>
      <c r="G81">
        <v>500</v>
      </c>
      <c r="H81">
        <v>2</v>
      </c>
      <c r="I81">
        <v>1000</v>
      </c>
      <c r="J81" t="s">
        <v>24</v>
      </c>
      <c r="K81" t="s">
        <v>44</v>
      </c>
      <c r="L81" t="s">
        <v>36</v>
      </c>
      <c r="M81" t="s">
        <v>8</v>
      </c>
    </row>
    <row r="82" spans="1:13" x14ac:dyDescent="0.25">
      <c r="A82" t="s">
        <v>158</v>
      </c>
      <c r="B82" s="2">
        <v>45731</v>
      </c>
      <c r="C82" t="s">
        <v>1</v>
      </c>
      <c r="D82" t="s">
        <v>18</v>
      </c>
      <c r="E82" t="s">
        <v>31</v>
      </c>
      <c r="F82" t="s">
        <v>32</v>
      </c>
      <c r="G82">
        <v>20</v>
      </c>
      <c r="H82">
        <v>3</v>
      </c>
      <c r="I82">
        <v>60</v>
      </c>
      <c r="J82" t="s">
        <v>24</v>
      </c>
      <c r="K82" t="s">
        <v>80</v>
      </c>
      <c r="L82" t="s">
        <v>36</v>
      </c>
      <c r="M82" t="s">
        <v>15</v>
      </c>
    </row>
    <row r="83" spans="1:13" x14ac:dyDescent="0.25">
      <c r="A83" t="s">
        <v>194</v>
      </c>
      <c r="B83" s="2">
        <v>45731</v>
      </c>
      <c r="C83" t="s">
        <v>1</v>
      </c>
      <c r="D83" t="s">
        <v>18</v>
      </c>
      <c r="E83" t="s">
        <v>40</v>
      </c>
      <c r="F83" t="s">
        <v>12</v>
      </c>
      <c r="G83">
        <v>500</v>
      </c>
      <c r="H83">
        <v>3</v>
      </c>
      <c r="I83">
        <v>1500</v>
      </c>
      <c r="J83" t="s">
        <v>41</v>
      </c>
      <c r="K83" t="s">
        <v>42</v>
      </c>
      <c r="L83" t="s">
        <v>56</v>
      </c>
      <c r="M83" t="s">
        <v>37</v>
      </c>
    </row>
    <row r="84" spans="1:13" x14ac:dyDescent="0.25">
      <c r="A84" t="s">
        <v>0</v>
      </c>
      <c r="B84" s="2">
        <v>45730</v>
      </c>
      <c r="C84" t="s">
        <v>1</v>
      </c>
      <c r="D84" t="s">
        <v>2</v>
      </c>
      <c r="E84" t="s">
        <v>3</v>
      </c>
      <c r="F84" t="s">
        <v>4</v>
      </c>
      <c r="G84">
        <v>60</v>
      </c>
      <c r="H84">
        <v>3</v>
      </c>
      <c r="I84">
        <v>180</v>
      </c>
      <c r="J84" t="s">
        <v>5</v>
      </c>
      <c r="K84" t="s">
        <v>6</v>
      </c>
      <c r="L84" t="s">
        <v>7</v>
      </c>
      <c r="M84" t="s">
        <v>8</v>
      </c>
    </row>
    <row r="85" spans="1:13" x14ac:dyDescent="0.25">
      <c r="A85" t="s">
        <v>30</v>
      </c>
      <c r="B85" s="2">
        <v>45730</v>
      </c>
      <c r="C85" t="s">
        <v>1</v>
      </c>
      <c r="D85" t="s">
        <v>2</v>
      </c>
      <c r="E85" t="s">
        <v>31</v>
      </c>
      <c r="F85" t="s">
        <v>32</v>
      </c>
      <c r="G85">
        <v>20</v>
      </c>
      <c r="H85">
        <v>1</v>
      </c>
      <c r="I85">
        <v>20</v>
      </c>
      <c r="J85" t="s">
        <v>19</v>
      </c>
      <c r="K85" t="s">
        <v>25</v>
      </c>
      <c r="L85" t="s">
        <v>26</v>
      </c>
      <c r="M85" t="s">
        <v>15</v>
      </c>
    </row>
    <row r="86" spans="1:13" x14ac:dyDescent="0.25">
      <c r="A86" t="s">
        <v>102</v>
      </c>
      <c r="B86" s="2">
        <v>45730</v>
      </c>
      <c r="C86" t="s">
        <v>1</v>
      </c>
      <c r="D86" t="s">
        <v>2</v>
      </c>
      <c r="E86" t="s">
        <v>51</v>
      </c>
      <c r="F86" t="s">
        <v>32</v>
      </c>
      <c r="G86">
        <v>40</v>
      </c>
      <c r="H86">
        <v>3</v>
      </c>
      <c r="I86">
        <v>120</v>
      </c>
      <c r="J86" t="s">
        <v>19</v>
      </c>
      <c r="K86" t="s">
        <v>44</v>
      </c>
      <c r="L86" t="s">
        <v>56</v>
      </c>
      <c r="M86" t="s">
        <v>37</v>
      </c>
    </row>
    <row r="87" spans="1:13" x14ac:dyDescent="0.25">
      <c r="A87" t="s">
        <v>118</v>
      </c>
      <c r="B87" s="2">
        <v>45730</v>
      </c>
      <c r="C87" t="s">
        <v>1</v>
      </c>
      <c r="D87" t="s">
        <v>2</v>
      </c>
      <c r="E87" t="s">
        <v>29</v>
      </c>
      <c r="F87" t="s">
        <v>12</v>
      </c>
      <c r="G87">
        <v>150</v>
      </c>
      <c r="H87">
        <v>2</v>
      </c>
      <c r="I87">
        <v>300</v>
      </c>
      <c r="J87" t="s">
        <v>52</v>
      </c>
      <c r="K87" t="s">
        <v>20</v>
      </c>
      <c r="L87" t="s">
        <v>36</v>
      </c>
      <c r="M87" t="s">
        <v>15</v>
      </c>
    </row>
    <row r="88" spans="1:13" x14ac:dyDescent="0.25">
      <c r="A88" t="s">
        <v>155</v>
      </c>
      <c r="B88" s="2">
        <v>45730</v>
      </c>
      <c r="C88" t="s">
        <v>1</v>
      </c>
      <c r="D88" t="s">
        <v>2</v>
      </c>
      <c r="E88" t="s">
        <v>31</v>
      </c>
      <c r="F88" t="s">
        <v>32</v>
      </c>
      <c r="G88">
        <v>20</v>
      </c>
      <c r="H88">
        <v>2</v>
      </c>
      <c r="I88">
        <v>40</v>
      </c>
      <c r="J88" t="s">
        <v>52</v>
      </c>
      <c r="K88" t="s">
        <v>80</v>
      </c>
      <c r="L88" t="s">
        <v>36</v>
      </c>
      <c r="M88" t="s">
        <v>15</v>
      </c>
    </row>
    <row r="89" spans="1:13" x14ac:dyDescent="0.25">
      <c r="A89" t="s">
        <v>217</v>
      </c>
      <c r="B89" s="2">
        <v>45730</v>
      </c>
      <c r="C89" t="s">
        <v>1</v>
      </c>
      <c r="D89" t="s">
        <v>2</v>
      </c>
      <c r="E89" t="s">
        <v>47</v>
      </c>
      <c r="F89" t="s">
        <v>48</v>
      </c>
      <c r="G89">
        <v>15</v>
      </c>
      <c r="H89">
        <v>1</v>
      </c>
      <c r="I89">
        <v>15</v>
      </c>
      <c r="J89" t="s">
        <v>49</v>
      </c>
      <c r="K89" t="s">
        <v>6</v>
      </c>
      <c r="L89" t="s">
        <v>21</v>
      </c>
      <c r="M89" t="s">
        <v>15</v>
      </c>
    </row>
    <row r="90" spans="1:13" x14ac:dyDescent="0.25">
      <c r="A90" t="s">
        <v>229</v>
      </c>
      <c r="B90" s="2">
        <v>45730</v>
      </c>
      <c r="C90" t="s">
        <v>1</v>
      </c>
      <c r="D90" t="s">
        <v>2</v>
      </c>
      <c r="E90" t="s">
        <v>47</v>
      </c>
      <c r="F90" t="s">
        <v>48</v>
      </c>
      <c r="G90">
        <v>15</v>
      </c>
      <c r="H90">
        <v>5</v>
      </c>
      <c r="I90">
        <v>75</v>
      </c>
      <c r="J90" t="s">
        <v>49</v>
      </c>
      <c r="K90" t="s">
        <v>14</v>
      </c>
      <c r="L90" t="s">
        <v>26</v>
      </c>
      <c r="M90" t="s">
        <v>15</v>
      </c>
    </row>
    <row r="91" spans="1:13" x14ac:dyDescent="0.25">
      <c r="A91" t="s">
        <v>284</v>
      </c>
      <c r="B91" s="2">
        <v>45730</v>
      </c>
      <c r="C91" t="s">
        <v>1</v>
      </c>
      <c r="D91" t="s">
        <v>2</v>
      </c>
      <c r="E91" t="s">
        <v>63</v>
      </c>
      <c r="F91" t="s">
        <v>59</v>
      </c>
      <c r="G91">
        <v>1200</v>
      </c>
      <c r="H91">
        <v>3</v>
      </c>
      <c r="I91">
        <v>3600</v>
      </c>
      <c r="J91" t="s">
        <v>5</v>
      </c>
      <c r="K91" t="s">
        <v>67</v>
      </c>
      <c r="L91" t="s">
        <v>26</v>
      </c>
      <c r="M91" t="s">
        <v>37</v>
      </c>
    </row>
    <row r="92" spans="1:13" x14ac:dyDescent="0.25">
      <c r="A92" t="s">
        <v>50</v>
      </c>
      <c r="B92" s="2">
        <v>45729</v>
      </c>
      <c r="C92" t="s">
        <v>1</v>
      </c>
      <c r="D92" t="s">
        <v>10</v>
      </c>
      <c r="E92" t="s">
        <v>51</v>
      </c>
      <c r="F92" t="s">
        <v>32</v>
      </c>
      <c r="G92">
        <v>40</v>
      </c>
      <c r="H92">
        <v>4</v>
      </c>
      <c r="I92">
        <v>160</v>
      </c>
      <c r="J92" t="s">
        <v>52</v>
      </c>
      <c r="K92" t="s">
        <v>25</v>
      </c>
      <c r="L92" t="s">
        <v>26</v>
      </c>
      <c r="M92" t="s">
        <v>37</v>
      </c>
    </row>
    <row r="93" spans="1:13" x14ac:dyDescent="0.25">
      <c r="A93" t="s">
        <v>110</v>
      </c>
      <c r="B93" s="2">
        <v>45729</v>
      </c>
      <c r="C93" t="s">
        <v>1</v>
      </c>
      <c r="D93" t="s">
        <v>10</v>
      </c>
      <c r="E93" t="s">
        <v>40</v>
      </c>
      <c r="F93" t="s">
        <v>12</v>
      </c>
      <c r="G93">
        <v>500</v>
      </c>
      <c r="H93">
        <v>1</v>
      </c>
      <c r="I93">
        <v>500</v>
      </c>
      <c r="J93" t="s">
        <v>79</v>
      </c>
      <c r="K93" t="s">
        <v>80</v>
      </c>
      <c r="L93" t="s">
        <v>36</v>
      </c>
      <c r="M93" t="s">
        <v>8</v>
      </c>
    </row>
    <row r="94" spans="1:13" x14ac:dyDescent="0.25">
      <c r="A94" t="s">
        <v>139</v>
      </c>
      <c r="B94" s="2">
        <v>45729</v>
      </c>
      <c r="C94" t="s">
        <v>1</v>
      </c>
      <c r="D94" t="s">
        <v>10</v>
      </c>
      <c r="E94" t="s">
        <v>3</v>
      </c>
      <c r="F94" t="s">
        <v>4</v>
      </c>
      <c r="G94">
        <v>60</v>
      </c>
      <c r="H94">
        <v>5</v>
      </c>
      <c r="I94">
        <v>300</v>
      </c>
      <c r="J94" t="s">
        <v>5</v>
      </c>
      <c r="K94" t="s">
        <v>42</v>
      </c>
      <c r="L94" t="s">
        <v>7</v>
      </c>
      <c r="M94" t="s">
        <v>37</v>
      </c>
    </row>
    <row r="95" spans="1:13" x14ac:dyDescent="0.25">
      <c r="A95" t="s">
        <v>226</v>
      </c>
      <c r="B95" s="2">
        <v>45729</v>
      </c>
      <c r="C95" t="s">
        <v>1</v>
      </c>
      <c r="D95" t="s">
        <v>10</v>
      </c>
      <c r="E95" t="s">
        <v>29</v>
      </c>
      <c r="F95" t="s">
        <v>12</v>
      </c>
      <c r="G95">
        <v>150</v>
      </c>
      <c r="H95">
        <v>2</v>
      </c>
      <c r="I95">
        <v>300</v>
      </c>
      <c r="J95" t="s">
        <v>49</v>
      </c>
      <c r="K95" t="s">
        <v>80</v>
      </c>
      <c r="L95" t="s">
        <v>7</v>
      </c>
      <c r="M95" t="s">
        <v>15</v>
      </c>
    </row>
    <row r="96" spans="1:13" x14ac:dyDescent="0.25">
      <c r="A96" t="s">
        <v>239</v>
      </c>
      <c r="B96" s="2">
        <v>45729</v>
      </c>
      <c r="C96" t="s">
        <v>1</v>
      </c>
      <c r="D96" t="s">
        <v>10</v>
      </c>
      <c r="E96" t="s">
        <v>54</v>
      </c>
      <c r="F96" t="s">
        <v>12</v>
      </c>
      <c r="G96">
        <v>800</v>
      </c>
      <c r="H96">
        <v>3</v>
      </c>
      <c r="I96">
        <v>2400</v>
      </c>
      <c r="J96" t="s">
        <v>19</v>
      </c>
      <c r="K96" t="s">
        <v>6</v>
      </c>
      <c r="L96" t="s">
        <v>36</v>
      </c>
      <c r="M96" t="s">
        <v>15</v>
      </c>
    </row>
    <row r="97" spans="1:13" x14ac:dyDescent="0.25">
      <c r="A97" t="s">
        <v>263</v>
      </c>
      <c r="B97" s="2">
        <v>45729</v>
      </c>
      <c r="C97" t="s">
        <v>1</v>
      </c>
      <c r="D97" t="s">
        <v>10</v>
      </c>
      <c r="E97" t="s">
        <v>40</v>
      </c>
      <c r="F97" t="s">
        <v>12</v>
      </c>
      <c r="G97">
        <v>500</v>
      </c>
      <c r="H97">
        <v>1</v>
      </c>
      <c r="I97">
        <v>500</v>
      </c>
      <c r="J97" t="s">
        <v>49</v>
      </c>
      <c r="K97" t="s">
        <v>42</v>
      </c>
      <c r="L97" t="s">
        <v>56</v>
      </c>
      <c r="M97" t="s">
        <v>15</v>
      </c>
    </row>
    <row r="98" spans="1:13" x14ac:dyDescent="0.25">
      <c r="A98" t="s">
        <v>45</v>
      </c>
      <c r="B98" s="2">
        <v>45728</v>
      </c>
      <c r="C98" t="s">
        <v>1</v>
      </c>
      <c r="D98" t="s">
        <v>23</v>
      </c>
      <c r="E98" t="s">
        <v>40</v>
      </c>
      <c r="F98" t="s">
        <v>12</v>
      </c>
      <c r="G98">
        <v>500</v>
      </c>
      <c r="H98">
        <v>1</v>
      </c>
      <c r="I98">
        <v>500</v>
      </c>
      <c r="J98" t="s">
        <v>13</v>
      </c>
      <c r="K98" t="s">
        <v>14</v>
      </c>
      <c r="L98" t="s">
        <v>26</v>
      </c>
      <c r="M98" t="s">
        <v>8</v>
      </c>
    </row>
    <row r="99" spans="1:13" x14ac:dyDescent="0.25">
      <c r="A99" t="s">
        <v>112</v>
      </c>
      <c r="B99" s="2">
        <v>45728</v>
      </c>
      <c r="C99" t="s">
        <v>1</v>
      </c>
      <c r="D99" t="s">
        <v>23</v>
      </c>
      <c r="E99" t="s">
        <v>47</v>
      </c>
      <c r="F99" t="s">
        <v>48</v>
      </c>
      <c r="G99">
        <v>15</v>
      </c>
      <c r="H99">
        <v>5</v>
      </c>
      <c r="I99">
        <v>75</v>
      </c>
      <c r="J99" t="s">
        <v>79</v>
      </c>
      <c r="K99" t="s">
        <v>25</v>
      </c>
      <c r="L99" t="s">
        <v>26</v>
      </c>
      <c r="M99" t="s">
        <v>15</v>
      </c>
    </row>
    <row r="100" spans="1:13" x14ac:dyDescent="0.25">
      <c r="A100" t="s">
        <v>224</v>
      </c>
      <c r="B100" s="2">
        <v>45728</v>
      </c>
      <c r="C100" t="s">
        <v>1</v>
      </c>
      <c r="D100" t="s">
        <v>23</v>
      </c>
      <c r="E100" t="s">
        <v>47</v>
      </c>
      <c r="F100" t="s">
        <v>48</v>
      </c>
      <c r="G100">
        <v>15</v>
      </c>
      <c r="H100">
        <v>1</v>
      </c>
      <c r="I100">
        <v>15</v>
      </c>
      <c r="J100" t="s">
        <v>49</v>
      </c>
      <c r="K100" t="s">
        <v>42</v>
      </c>
      <c r="L100" t="s">
        <v>7</v>
      </c>
      <c r="M100" t="s">
        <v>8</v>
      </c>
    </row>
    <row r="101" spans="1:13" x14ac:dyDescent="0.25">
      <c r="A101" t="s">
        <v>249</v>
      </c>
      <c r="B101" s="2">
        <v>45728</v>
      </c>
      <c r="C101" t="s">
        <v>1</v>
      </c>
      <c r="D101" t="s">
        <v>23</v>
      </c>
      <c r="E101" t="s">
        <v>3</v>
      </c>
      <c r="F101" t="s">
        <v>4</v>
      </c>
      <c r="G101">
        <v>60</v>
      </c>
      <c r="H101">
        <v>2</v>
      </c>
      <c r="I101">
        <v>120</v>
      </c>
      <c r="J101" t="s">
        <v>52</v>
      </c>
      <c r="K101" t="s">
        <v>20</v>
      </c>
      <c r="L101" t="s">
        <v>56</v>
      </c>
      <c r="M101" t="s">
        <v>37</v>
      </c>
    </row>
    <row r="102" spans="1:13" x14ac:dyDescent="0.25">
      <c r="A102" t="s">
        <v>113</v>
      </c>
      <c r="B102" s="2">
        <v>45727</v>
      </c>
      <c r="C102" t="s">
        <v>1</v>
      </c>
      <c r="D102" t="s">
        <v>34</v>
      </c>
      <c r="E102" t="s">
        <v>63</v>
      </c>
      <c r="F102" t="s">
        <v>59</v>
      </c>
      <c r="G102">
        <v>1200</v>
      </c>
      <c r="H102">
        <v>1</v>
      </c>
      <c r="I102">
        <v>1200</v>
      </c>
      <c r="J102" t="s">
        <v>79</v>
      </c>
      <c r="K102" t="s">
        <v>6</v>
      </c>
      <c r="L102" t="s">
        <v>36</v>
      </c>
      <c r="M102" t="s">
        <v>8</v>
      </c>
    </row>
    <row r="103" spans="1:13" x14ac:dyDescent="0.25">
      <c r="A103" t="s">
        <v>277</v>
      </c>
      <c r="B103" s="2">
        <v>45727</v>
      </c>
      <c r="C103" t="s">
        <v>1</v>
      </c>
      <c r="D103" t="s">
        <v>34</v>
      </c>
      <c r="E103" t="s">
        <v>51</v>
      </c>
      <c r="F103" t="s">
        <v>32</v>
      </c>
      <c r="G103">
        <v>40</v>
      </c>
      <c r="H103">
        <v>1</v>
      </c>
      <c r="I103">
        <v>40</v>
      </c>
      <c r="J103" t="s">
        <v>41</v>
      </c>
      <c r="K103" t="s">
        <v>6</v>
      </c>
      <c r="L103" t="s">
        <v>56</v>
      </c>
      <c r="M103" t="s">
        <v>8</v>
      </c>
    </row>
    <row r="104" spans="1:13" x14ac:dyDescent="0.25">
      <c r="A104" t="s">
        <v>27</v>
      </c>
      <c r="B104" s="2">
        <v>45726</v>
      </c>
      <c r="C104" t="s">
        <v>1</v>
      </c>
      <c r="D104" t="s">
        <v>28</v>
      </c>
      <c r="E104" t="s">
        <v>29</v>
      </c>
      <c r="F104" t="s">
        <v>12</v>
      </c>
      <c r="G104">
        <v>150</v>
      </c>
      <c r="H104">
        <v>3</v>
      </c>
      <c r="I104">
        <v>450</v>
      </c>
      <c r="J104" t="s">
        <v>5</v>
      </c>
      <c r="K104" t="s">
        <v>6</v>
      </c>
      <c r="L104" t="s">
        <v>7</v>
      </c>
      <c r="M104" t="s">
        <v>15</v>
      </c>
    </row>
    <row r="105" spans="1:13" x14ac:dyDescent="0.25">
      <c r="A105" t="s">
        <v>84</v>
      </c>
      <c r="B105" s="2">
        <v>45726</v>
      </c>
      <c r="C105" t="s">
        <v>1</v>
      </c>
      <c r="D105" t="s">
        <v>28</v>
      </c>
      <c r="E105" t="s">
        <v>40</v>
      </c>
      <c r="F105" t="s">
        <v>12</v>
      </c>
      <c r="G105">
        <v>500</v>
      </c>
      <c r="H105">
        <v>4</v>
      </c>
      <c r="I105">
        <v>2000</v>
      </c>
      <c r="J105" t="s">
        <v>52</v>
      </c>
      <c r="K105" t="s">
        <v>61</v>
      </c>
      <c r="L105" t="s">
        <v>36</v>
      </c>
      <c r="M105" t="s">
        <v>15</v>
      </c>
    </row>
    <row r="106" spans="1:13" x14ac:dyDescent="0.25">
      <c r="A106" t="s">
        <v>122</v>
      </c>
      <c r="B106" s="2">
        <v>45726</v>
      </c>
      <c r="C106" t="s">
        <v>1</v>
      </c>
      <c r="D106" t="s">
        <v>28</v>
      </c>
      <c r="E106" t="s">
        <v>47</v>
      </c>
      <c r="F106" t="s">
        <v>48</v>
      </c>
      <c r="G106">
        <v>15</v>
      </c>
      <c r="H106">
        <v>1</v>
      </c>
      <c r="I106">
        <v>15</v>
      </c>
      <c r="J106" t="s">
        <v>13</v>
      </c>
      <c r="K106" t="s">
        <v>44</v>
      </c>
      <c r="L106" t="s">
        <v>26</v>
      </c>
      <c r="M106" t="s">
        <v>37</v>
      </c>
    </row>
    <row r="107" spans="1:13" x14ac:dyDescent="0.25">
      <c r="A107" t="s">
        <v>247</v>
      </c>
      <c r="B107" s="2">
        <v>45726</v>
      </c>
      <c r="C107" t="s">
        <v>1</v>
      </c>
      <c r="D107" t="s">
        <v>28</v>
      </c>
      <c r="E107" t="s">
        <v>40</v>
      </c>
      <c r="F107" t="s">
        <v>12</v>
      </c>
      <c r="G107">
        <v>500</v>
      </c>
      <c r="H107">
        <v>3</v>
      </c>
      <c r="I107">
        <v>1500</v>
      </c>
      <c r="J107" t="s">
        <v>24</v>
      </c>
      <c r="K107" t="s">
        <v>20</v>
      </c>
      <c r="L107" t="s">
        <v>56</v>
      </c>
      <c r="M107" t="s">
        <v>8</v>
      </c>
    </row>
    <row r="108" spans="1:13" x14ac:dyDescent="0.25">
      <c r="A108" t="s">
        <v>131</v>
      </c>
      <c r="B108" s="2">
        <v>45725</v>
      </c>
      <c r="C108" t="s">
        <v>1</v>
      </c>
      <c r="D108" t="s">
        <v>39</v>
      </c>
      <c r="E108" t="s">
        <v>3</v>
      </c>
      <c r="F108" t="s">
        <v>4</v>
      </c>
      <c r="G108">
        <v>60</v>
      </c>
      <c r="H108">
        <v>2</v>
      </c>
      <c r="I108">
        <v>120</v>
      </c>
      <c r="J108" t="s">
        <v>13</v>
      </c>
      <c r="K108" t="s">
        <v>20</v>
      </c>
      <c r="L108" t="s">
        <v>56</v>
      </c>
      <c r="M108" t="s">
        <v>8</v>
      </c>
    </row>
    <row r="109" spans="1:13" x14ac:dyDescent="0.25">
      <c r="A109" t="s">
        <v>264</v>
      </c>
      <c r="B109" s="2">
        <v>45725</v>
      </c>
      <c r="C109" t="s">
        <v>1</v>
      </c>
      <c r="D109" t="s">
        <v>39</v>
      </c>
      <c r="E109" t="s">
        <v>31</v>
      </c>
      <c r="F109" t="s">
        <v>32</v>
      </c>
      <c r="G109">
        <v>20</v>
      </c>
      <c r="H109">
        <v>4</v>
      </c>
      <c r="I109">
        <v>80</v>
      </c>
      <c r="J109" t="s">
        <v>5</v>
      </c>
      <c r="K109" t="s">
        <v>35</v>
      </c>
      <c r="L109" t="s">
        <v>7</v>
      </c>
      <c r="M109" t="s">
        <v>37</v>
      </c>
    </row>
    <row r="110" spans="1:13" x14ac:dyDescent="0.25">
      <c r="A110" t="s">
        <v>43</v>
      </c>
      <c r="B110" s="2">
        <v>45724</v>
      </c>
      <c r="C110" t="s">
        <v>1</v>
      </c>
      <c r="D110" t="s">
        <v>18</v>
      </c>
      <c r="E110" t="s">
        <v>31</v>
      </c>
      <c r="F110" t="s">
        <v>32</v>
      </c>
      <c r="G110">
        <v>20</v>
      </c>
      <c r="H110">
        <v>3</v>
      </c>
      <c r="I110">
        <v>60</v>
      </c>
      <c r="J110" t="s">
        <v>41</v>
      </c>
      <c r="K110" t="s">
        <v>44</v>
      </c>
      <c r="L110" t="s">
        <v>36</v>
      </c>
      <c r="M110" t="s">
        <v>37</v>
      </c>
    </row>
    <row r="111" spans="1:13" x14ac:dyDescent="0.25">
      <c r="A111" t="s">
        <v>197</v>
      </c>
      <c r="B111" s="2">
        <v>45724</v>
      </c>
      <c r="C111" t="s">
        <v>1</v>
      </c>
      <c r="D111" t="s">
        <v>18</v>
      </c>
      <c r="E111" t="s">
        <v>29</v>
      </c>
      <c r="F111" t="s">
        <v>12</v>
      </c>
      <c r="G111">
        <v>150</v>
      </c>
      <c r="H111">
        <v>2</v>
      </c>
      <c r="I111">
        <v>300</v>
      </c>
      <c r="J111" t="s">
        <v>52</v>
      </c>
      <c r="K111" t="s">
        <v>61</v>
      </c>
      <c r="L111" t="s">
        <v>7</v>
      </c>
      <c r="M111" t="s">
        <v>8</v>
      </c>
    </row>
    <row r="112" spans="1:13" x14ac:dyDescent="0.25">
      <c r="A112" t="s">
        <v>256</v>
      </c>
      <c r="B112" s="2">
        <v>45724</v>
      </c>
      <c r="C112" t="s">
        <v>1</v>
      </c>
      <c r="D112" t="s">
        <v>18</v>
      </c>
      <c r="E112" t="s">
        <v>3</v>
      </c>
      <c r="F112" t="s">
        <v>4</v>
      </c>
      <c r="G112">
        <v>60</v>
      </c>
      <c r="H112">
        <v>5</v>
      </c>
      <c r="I112">
        <v>300</v>
      </c>
      <c r="J112" t="s">
        <v>79</v>
      </c>
      <c r="K112" t="s">
        <v>42</v>
      </c>
      <c r="L112" t="s">
        <v>56</v>
      </c>
      <c r="M112" t="s">
        <v>15</v>
      </c>
    </row>
    <row r="113" spans="1:13" x14ac:dyDescent="0.25">
      <c r="A113" t="s">
        <v>286</v>
      </c>
      <c r="B113" s="2">
        <v>45724</v>
      </c>
      <c r="C113" t="s">
        <v>1</v>
      </c>
      <c r="D113" t="s">
        <v>18</v>
      </c>
      <c r="E113" t="s">
        <v>47</v>
      </c>
      <c r="F113" t="s">
        <v>48</v>
      </c>
      <c r="G113">
        <v>15</v>
      </c>
      <c r="H113">
        <v>1</v>
      </c>
      <c r="I113">
        <v>15</v>
      </c>
      <c r="J113" t="s">
        <v>79</v>
      </c>
      <c r="K113" t="s">
        <v>42</v>
      </c>
      <c r="L113" t="s">
        <v>21</v>
      </c>
      <c r="M113" t="s">
        <v>8</v>
      </c>
    </row>
    <row r="114" spans="1:13" x14ac:dyDescent="0.25">
      <c r="A114" t="s">
        <v>294</v>
      </c>
      <c r="B114" s="2">
        <v>45724</v>
      </c>
      <c r="C114" t="s">
        <v>1</v>
      </c>
      <c r="D114" t="s">
        <v>18</v>
      </c>
      <c r="E114" t="s">
        <v>40</v>
      </c>
      <c r="F114" t="s">
        <v>12</v>
      </c>
      <c r="G114">
        <v>500</v>
      </c>
      <c r="H114">
        <v>4</v>
      </c>
      <c r="I114">
        <v>2000</v>
      </c>
      <c r="J114" t="s">
        <v>71</v>
      </c>
      <c r="K114" t="s">
        <v>44</v>
      </c>
      <c r="L114" t="s">
        <v>56</v>
      </c>
      <c r="M114" t="s">
        <v>15</v>
      </c>
    </row>
    <row r="115" spans="1:13" x14ac:dyDescent="0.25">
      <c r="A115" t="s">
        <v>301</v>
      </c>
      <c r="B115" s="2">
        <v>45724</v>
      </c>
      <c r="C115" t="s">
        <v>1</v>
      </c>
      <c r="D115" t="s">
        <v>18</v>
      </c>
      <c r="E115" t="s">
        <v>29</v>
      </c>
      <c r="F115" t="s">
        <v>12</v>
      </c>
      <c r="G115">
        <v>150</v>
      </c>
      <c r="H115">
        <v>3</v>
      </c>
      <c r="I115">
        <v>450</v>
      </c>
      <c r="J115" t="s">
        <v>13</v>
      </c>
      <c r="K115" t="s">
        <v>6</v>
      </c>
      <c r="L115" t="s">
        <v>7</v>
      </c>
      <c r="M115" t="s">
        <v>8</v>
      </c>
    </row>
    <row r="116" spans="1:13" x14ac:dyDescent="0.25">
      <c r="A116" t="s">
        <v>69</v>
      </c>
      <c r="B116" s="2">
        <v>45723</v>
      </c>
      <c r="C116" t="s">
        <v>1</v>
      </c>
      <c r="D116" t="s">
        <v>2</v>
      </c>
      <c r="E116" t="s">
        <v>11</v>
      </c>
      <c r="F116" t="s">
        <v>12</v>
      </c>
      <c r="G116">
        <v>100</v>
      </c>
      <c r="H116">
        <v>4</v>
      </c>
      <c r="I116">
        <v>400</v>
      </c>
      <c r="J116" t="s">
        <v>24</v>
      </c>
      <c r="K116" t="s">
        <v>61</v>
      </c>
      <c r="L116" t="s">
        <v>7</v>
      </c>
      <c r="M116" t="s">
        <v>15</v>
      </c>
    </row>
    <row r="117" spans="1:13" x14ac:dyDescent="0.25">
      <c r="A117" t="s">
        <v>72</v>
      </c>
      <c r="B117" s="2">
        <v>45723</v>
      </c>
      <c r="C117" t="s">
        <v>1</v>
      </c>
      <c r="D117" t="s">
        <v>2</v>
      </c>
      <c r="E117" t="s">
        <v>63</v>
      </c>
      <c r="F117" t="s">
        <v>59</v>
      </c>
      <c r="G117">
        <v>1200</v>
      </c>
      <c r="H117">
        <v>4</v>
      </c>
      <c r="I117">
        <v>4800</v>
      </c>
      <c r="J117" t="s">
        <v>24</v>
      </c>
      <c r="K117" t="s">
        <v>35</v>
      </c>
      <c r="L117" t="s">
        <v>26</v>
      </c>
      <c r="M117" t="s">
        <v>15</v>
      </c>
    </row>
    <row r="118" spans="1:13" x14ac:dyDescent="0.25">
      <c r="A118" t="s">
        <v>124</v>
      </c>
      <c r="B118" s="2">
        <v>45723</v>
      </c>
      <c r="C118" t="s">
        <v>1</v>
      </c>
      <c r="D118" t="s">
        <v>2</v>
      </c>
      <c r="E118" t="s">
        <v>54</v>
      </c>
      <c r="F118" t="s">
        <v>12</v>
      </c>
      <c r="G118">
        <v>800</v>
      </c>
      <c r="H118">
        <v>3</v>
      </c>
      <c r="I118">
        <v>2400</v>
      </c>
      <c r="J118" t="s">
        <v>55</v>
      </c>
      <c r="K118" t="s">
        <v>35</v>
      </c>
      <c r="L118" t="s">
        <v>26</v>
      </c>
      <c r="M118" t="s">
        <v>15</v>
      </c>
    </row>
    <row r="119" spans="1:13" x14ac:dyDescent="0.25">
      <c r="A119" t="s">
        <v>184</v>
      </c>
      <c r="B119" s="2">
        <v>45723</v>
      </c>
      <c r="C119" t="s">
        <v>1</v>
      </c>
      <c r="D119" t="s">
        <v>2</v>
      </c>
      <c r="E119" t="s">
        <v>40</v>
      </c>
      <c r="F119" t="s">
        <v>12</v>
      </c>
      <c r="G119">
        <v>500</v>
      </c>
      <c r="H119">
        <v>2</v>
      </c>
      <c r="I119">
        <v>1000</v>
      </c>
      <c r="J119" t="s">
        <v>24</v>
      </c>
      <c r="K119" t="s">
        <v>80</v>
      </c>
      <c r="L119" t="s">
        <v>7</v>
      </c>
      <c r="M119" t="s">
        <v>15</v>
      </c>
    </row>
    <row r="120" spans="1:13" x14ac:dyDescent="0.25">
      <c r="A120" t="s">
        <v>267</v>
      </c>
      <c r="B120" s="2">
        <v>45723</v>
      </c>
      <c r="C120" t="s">
        <v>1</v>
      </c>
      <c r="D120" t="s">
        <v>2</v>
      </c>
      <c r="E120" t="s">
        <v>3</v>
      </c>
      <c r="F120" t="s">
        <v>4</v>
      </c>
      <c r="G120">
        <v>60</v>
      </c>
      <c r="H120">
        <v>1</v>
      </c>
      <c r="I120">
        <v>60</v>
      </c>
      <c r="J120" t="s">
        <v>5</v>
      </c>
      <c r="K120" t="s">
        <v>35</v>
      </c>
      <c r="L120" t="s">
        <v>36</v>
      </c>
      <c r="M120" t="s">
        <v>37</v>
      </c>
    </row>
    <row r="121" spans="1:13" x14ac:dyDescent="0.25">
      <c r="A121" t="s">
        <v>98</v>
      </c>
      <c r="B121" s="2">
        <v>45722</v>
      </c>
      <c r="C121" t="s">
        <v>1</v>
      </c>
      <c r="D121" t="s">
        <v>10</v>
      </c>
      <c r="E121" t="s">
        <v>3</v>
      </c>
      <c r="F121" t="s">
        <v>4</v>
      </c>
      <c r="G121">
        <v>60</v>
      </c>
      <c r="H121">
        <v>2</v>
      </c>
      <c r="I121">
        <v>120</v>
      </c>
      <c r="J121" t="s">
        <v>49</v>
      </c>
      <c r="K121" t="s">
        <v>35</v>
      </c>
      <c r="L121" t="s">
        <v>7</v>
      </c>
      <c r="M121" t="s">
        <v>8</v>
      </c>
    </row>
    <row r="122" spans="1:13" x14ac:dyDescent="0.25">
      <c r="A122" t="s">
        <v>145</v>
      </c>
      <c r="B122" s="2">
        <v>45722</v>
      </c>
      <c r="C122" t="s">
        <v>1</v>
      </c>
      <c r="D122" t="s">
        <v>10</v>
      </c>
      <c r="E122" t="s">
        <v>63</v>
      </c>
      <c r="F122" t="s">
        <v>59</v>
      </c>
      <c r="G122">
        <v>1200</v>
      </c>
      <c r="H122">
        <v>5</v>
      </c>
      <c r="I122">
        <v>6000</v>
      </c>
      <c r="J122" t="s">
        <v>49</v>
      </c>
      <c r="K122" t="s">
        <v>20</v>
      </c>
      <c r="L122" t="s">
        <v>36</v>
      </c>
      <c r="M122" t="s">
        <v>8</v>
      </c>
    </row>
    <row r="123" spans="1:13" x14ac:dyDescent="0.25">
      <c r="A123" t="s">
        <v>164</v>
      </c>
      <c r="B123" s="2">
        <v>45722</v>
      </c>
      <c r="C123" t="s">
        <v>1</v>
      </c>
      <c r="D123" t="s">
        <v>10</v>
      </c>
      <c r="E123" t="s">
        <v>58</v>
      </c>
      <c r="F123" t="s">
        <v>59</v>
      </c>
      <c r="G123">
        <v>600</v>
      </c>
      <c r="H123">
        <v>2</v>
      </c>
      <c r="I123">
        <v>1200</v>
      </c>
      <c r="J123" t="s">
        <v>49</v>
      </c>
      <c r="K123" t="s">
        <v>25</v>
      </c>
      <c r="L123" t="s">
        <v>56</v>
      </c>
      <c r="M123" t="s">
        <v>8</v>
      </c>
    </row>
    <row r="124" spans="1:13" x14ac:dyDescent="0.25">
      <c r="A124" t="s">
        <v>221</v>
      </c>
      <c r="B124" s="2">
        <v>45722</v>
      </c>
      <c r="C124" t="s">
        <v>1</v>
      </c>
      <c r="D124" t="s">
        <v>10</v>
      </c>
      <c r="E124" t="s">
        <v>63</v>
      </c>
      <c r="F124" t="s">
        <v>59</v>
      </c>
      <c r="G124">
        <v>1200</v>
      </c>
      <c r="H124">
        <v>2</v>
      </c>
      <c r="I124">
        <v>2400</v>
      </c>
      <c r="J124" t="s">
        <v>19</v>
      </c>
      <c r="K124" t="s">
        <v>20</v>
      </c>
      <c r="L124" t="s">
        <v>36</v>
      </c>
      <c r="M124" t="s">
        <v>37</v>
      </c>
    </row>
    <row r="125" spans="1:13" x14ac:dyDescent="0.25">
      <c r="A125" t="s">
        <v>278</v>
      </c>
      <c r="B125" s="2">
        <v>45721</v>
      </c>
      <c r="C125" t="s">
        <v>1</v>
      </c>
      <c r="D125" t="s">
        <v>23</v>
      </c>
      <c r="E125" t="s">
        <v>3</v>
      </c>
      <c r="F125" t="s">
        <v>4</v>
      </c>
      <c r="G125">
        <v>60</v>
      </c>
      <c r="H125">
        <v>4</v>
      </c>
      <c r="I125">
        <v>240</v>
      </c>
      <c r="J125" t="s">
        <v>71</v>
      </c>
      <c r="K125" t="s">
        <v>80</v>
      </c>
      <c r="L125" t="s">
        <v>21</v>
      </c>
      <c r="M125" t="s">
        <v>37</v>
      </c>
    </row>
    <row r="126" spans="1:13" x14ac:dyDescent="0.25">
      <c r="A126" t="s">
        <v>288</v>
      </c>
      <c r="B126" s="2">
        <v>45721</v>
      </c>
      <c r="C126" t="s">
        <v>1</v>
      </c>
      <c r="D126" t="s">
        <v>23</v>
      </c>
      <c r="E126" t="s">
        <v>40</v>
      </c>
      <c r="F126" t="s">
        <v>12</v>
      </c>
      <c r="G126">
        <v>500</v>
      </c>
      <c r="H126">
        <v>5</v>
      </c>
      <c r="I126">
        <v>2500</v>
      </c>
      <c r="J126" t="s">
        <v>19</v>
      </c>
      <c r="K126" t="s">
        <v>44</v>
      </c>
      <c r="L126" t="s">
        <v>36</v>
      </c>
      <c r="M126" t="s">
        <v>37</v>
      </c>
    </row>
    <row r="127" spans="1:13" x14ac:dyDescent="0.25">
      <c r="A127" t="s">
        <v>295</v>
      </c>
      <c r="B127" s="2">
        <v>45721</v>
      </c>
      <c r="C127" t="s">
        <v>1</v>
      </c>
      <c r="D127" t="s">
        <v>23</v>
      </c>
      <c r="E127" t="s">
        <v>3</v>
      </c>
      <c r="F127" t="s">
        <v>4</v>
      </c>
      <c r="G127">
        <v>60</v>
      </c>
      <c r="H127">
        <v>2</v>
      </c>
      <c r="I127">
        <v>120</v>
      </c>
      <c r="J127" t="s">
        <v>71</v>
      </c>
      <c r="K127" t="s">
        <v>35</v>
      </c>
      <c r="L127" t="s">
        <v>21</v>
      </c>
      <c r="M127" t="s">
        <v>37</v>
      </c>
    </row>
    <row r="128" spans="1:13" x14ac:dyDescent="0.25">
      <c r="A128" t="s">
        <v>300</v>
      </c>
      <c r="B128" s="2">
        <v>45721</v>
      </c>
      <c r="C128" t="s">
        <v>1</v>
      </c>
      <c r="D128" t="s">
        <v>23</v>
      </c>
      <c r="E128" t="s">
        <v>31</v>
      </c>
      <c r="F128" t="s">
        <v>32</v>
      </c>
      <c r="G128">
        <v>20</v>
      </c>
      <c r="H128">
        <v>2</v>
      </c>
      <c r="I128">
        <v>40</v>
      </c>
      <c r="J128" t="s">
        <v>71</v>
      </c>
      <c r="K128" t="s">
        <v>20</v>
      </c>
      <c r="L128" t="s">
        <v>7</v>
      </c>
      <c r="M128" t="s">
        <v>8</v>
      </c>
    </row>
    <row r="129" spans="1:13" x14ac:dyDescent="0.25">
      <c r="A129" t="s">
        <v>57</v>
      </c>
      <c r="B129" s="2">
        <v>45720</v>
      </c>
      <c r="C129" t="s">
        <v>1</v>
      </c>
      <c r="D129" t="s">
        <v>34</v>
      </c>
      <c r="E129" t="s">
        <v>58</v>
      </c>
      <c r="F129" t="s">
        <v>59</v>
      </c>
      <c r="G129">
        <v>600</v>
      </c>
      <c r="H129">
        <v>3</v>
      </c>
      <c r="I129">
        <v>1800</v>
      </c>
      <c r="J129" t="s">
        <v>52</v>
      </c>
      <c r="K129" t="s">
        <v>42</v>
      </c>
      <c r="L129" t="s">
        <v>26</v>
      </c>
      <c r="M129" t="s">
        <v>8</v>
      </c>
    </row>
    <row r="130" spans="1:13" x14ac:dyDescent="0.25">
      <c r="A130" t="s">
        <v>232</v>
      </c>
      <c r="B130" s="2">
        <v>45720</v>
      </c>
      <c r="C130" t="s">
        <v>1</v>
      </c>
      <c r="D130" t="s">
        <v>34</v>
      </c>
      <c r="E130" t="s">
        <v>63</v>
      </c>
      <c r="F130" t="s">
        <v>59</v>
      </c>
      <c r="G130">
        <v>1200</v>
      </c>
      <c r="H130">
        <v>3</v>
      </c>
      <c r="I130">
        <v>3600</v>
      </c>
      <c r="J130" t="s">
        <v>49</v>
      </c>
      <c r="K130" t="s">
        <v>44</v>
      </c>
      <c r="L130" t="s">
        <v>56</v>
      </c>
      <c r="M130" t="s">
        <v>37</v>
      </c>
    </row>
    <row r="131" spans="1:13" x14ac:dyDescent="0.25">
      <c r="A131" t="s">
        <v>248</v>
      </c>
      <c r="B131" s="2">
        <v>45720</v>
      </c>
      <c r="C131" t="s">
        <v>1</v>
      </c>
      <c r="D131" t="s">
        <v>34</v>
      </c>
      <c r="E131" t="s">
        <v>11</v>
      </c>
      <c r="F131" t="s">
        <v>12</v>
      </c>
      <c r="G131">
        <v>100</v>
      </c>
      <c r="H131">
        <v>5</v>
      </c>
      <c r="I131">
        <v>500</v>
      </c>
      <c r="J131" t="s">
        <v>55</v>
      </c>
      <c r="K131" t="s">
        <v>61</v>
      </c>
      <c r="L131" t="s">
        <v>7</v>
      </c>
      <c r="M131" t="s">
        <v>15</v>
      </c>
    </row>
    <row r="132" spans="1:13" x14ac:dyDescent="0.25">
      <c r="A132" t="s">
        <v>233</v>
      </c>
      <c r="B132" s="2">
        <v>45719</v>
      </c>
      <c r="C132" t="s">
        <v>1</v>
      </c>
      <c r="D132" t="s">
        <v>28</v>
      </c>
      <c r="E132" t="s">
        <v>3</v>
      </c>
      <c r="F132" t="s">
        <v>4</v>
      </c>
      <c r="G132">
        <v>60</v>
      </c>
      <c r="H132">
        <v>2</v>
      </c>
      <c r="I132">
        <v>120</v>
      </c>
      <c r="J132" t="s">
        <v>49</v>
      </c>
      <c r="K132" t="s">
        <v>67</v>
      </c>
      <c r="L132" t="s">
        <v>7</v>
      </c>
      <c r="M132" t="s">
        <v>8</v>
      </c>
    </row>
    <row r="133" spans="1:13" x14ac:dyDescent="0.25">
      <c r="A133" t="s">
        <v>38</v>
      </c>
      <c r="B133" s="2">
        <v>45718</v>
      </c>
      <c r="C133" t="s">
        <v>1</v>
      </c>
      <c r="D133" t="s">
        <v>39</v>
      </c>
      <c r="E133" t="s">
        <v>40</v>
      </c>
      <c r="F133" t="s">
        <v>12</v>
      </c>
      <c r="G133">
        <v>500</v>
      </c>
      <c r="H133">
        <v>1</v>
      </c>
      <c r="I133">
        <v>500</v>
      </c>
      <c r="J133" t="s">
        <v>41</v>
      </c>
      <c r="K133" t="s">
        <v>42</v>
      </c>
      <c r="L133" t="s">
        <v>36</v>
      </c>
      <c r="M133" t="s">
        <v>37</v>
      </c>
    </row>
    <row r="134" spans="1:13" x14ac:dyDescent="0.25">
      <c r="A134" t="s">
        <v>75</v>
      </c>
      <c r="B134" s="2">
        <v>45718</v>
      </c>
      <c r="C134" t="s">
        <v>1</v>
      </c>
      <c r="D134" t="s">
        <v>39</v>
      </c>
      <c r="E134" t="s">
        <v>47</v>
      </c>
      <c r="F134" t="s">
        <v>48</v>
      </c>
      <c r="G134">
        <v>15</v>
      </c>
      <c r="H134">
        <v>5</v>
      </c>
      <c r="I134">
        <v>75</v>
      </c>
      <c r="J134" t="s">
        <v>41</v>
      </c>
      <c r="K134" t="s">
        <v>61</v>
      </c>
      <c r="L134" t="s">
        <v>21</v>
      </c>
      <c r="M134" t="s">
        <v>37</v>
      </c>
    </row>
    <row r="135" spans="1:13" x14ac:dyDescent="0.25">
      <c r="A135" t="s">
        <v>91</v>
      </c>
      <c r="B135" s="2">
        <v>45718</v>
      </c>
      <c r="C135" t="s">
        <v>1</v>
      </c>
      <c r="D135" t="s">
        <v>39</v>
      </c>
      <c r="E135" t="s">
        <v>54</v>
      </c>
      <c r="F135" t="s">
        <v>12</v>
      </c>
      <c r="G135">
        <v>800</v>
      </c>
      <c r="H135">
        <v>2</v>
      </c>
      <c r="I135">
        <v>1600</v>
      </c>
      <c r="J135" t="s">
        <v>24</v>
      </c>
      <c r="K135" t="s">
        <v>14</v>
      </c>
      <c r="L135" t="s">
        <v>36</v>
      </c>
      <c r="M135" t="s">
        <v>37</v>
      </c>
    </row>
    <row r="136" spans="1:13" x14ac:dyDescent="0.25">
      <c r="A136" t="s">
        <v>238</v>
      </c>
      <c r="B136" s="2">
        <v>45718</v>
      </c>
      <c r="C136" t="s">
        <v>1</v>
      </c>
      <c r="D136" t="s">
        <v>39</v>
      </c>
      <c r="E136" t="s">
        <v>58</v>
      </c>
      <c r="F136" t="s">
        <v>59</v>
      </c>
      <c r="G136">
        <v>600</v>
      </c>
      <c r="H136">
        <v>4</v>
      </c>
      <c r="I136">
        <v>2400</v>
      </c>
      <c r="J136" t="s">
        <v>52</v>
      </c>
      <c r="K136" t="s">
        <v>6</v>
      </c>
      <c r="L136" t="s">
        <v>36</v>
      </c>
      <c r="M136" t="s">
        <v>37</v>
      </c>
    </row>
    <row r="137" spans="1:13" x14ac:dyDescent="0.25">
      <c r="A137" t="s">
        <v>53</v>
      </c>
      <c r="B137" s="2">
        <v>45717</v>
      </c>
      <c r="C137" t="s">
        <v>1</v>
      </c>
      <c r="D137" t="s">
        <v>18</v>
      </c>
      <c r="E137" t="s">
        <v>54</v>
      </c>
      <c r="F137" t="s">
        <v>12</v>
      </c>
      <c r="G137">
        <v>800</v>
      </c>
      <c r="H137">
        <v>2</v>
      </c>
      <c r="I137">
        <v>1600</v>
      </c>
      <c r="J137" t="s">
        <v>55</v>
      </c>
      <c r="K137" t="s">
        <v>14</v>
      </c>
      <c r="L137" t="s">
        <v>56</v>
      </c>
      <c r="M137" t="s">
        <v>15</v>
      </c>
    </row>
    <row r="138" spans="1:13" x14ac:dyDescent="0.25">
      <c r="A138" t="s">
        <v>206</v>
      </c>
      <c r="B138" s="2">
        <v>45717</v>
      </c>
      <c r="C138" t="s">
        <v>1</v>
      </c>
      <c r="D138" t="s">
        <v>18</v>
      </c>
      <c r="E138" t="s">
        <v>11</v>
      </c>
      <c r="F138" t="s">
        <v>12</v>
      </c>
      <c r="G138">
        <v>100</v>
      </c>
      <c r="H138">
        <v>2</v>
      </c>
      <c r="I138">
        <v>200</v>
      </c>
      <c r="J138" t="s">
        <v>19</v>
      </c>
      <c r="K138" t="s">
        <v>20</v>
      </c>
      <c r="L138" t="s">
        <v>7</v>
      </c>
      <c r="M138" t="s">
        <v>37</v>
      </c>
    </row>
    <row r="139" spans="1:13" x14ac:dyDescent="0.25">
      <c r="A139" t="s">
        <v>135</v>
      </c>
      <c r="B139" s="2">
        <v>45716</v>
      </c>
      <c r="C139" t="s">
        <v>17</v>
      </c>
      <c r="D139" t="s">
        <v>2</v>
      </c>
      <c r="E139" t="s">
        <v>58</v>
      </c>
      <c r="F139" t="s">
        <v>59</v>
      </c>
      <c r="G139">
        <v>600</v>
      </c>
      <c r="H139">
        <v>4</v>
      </c>
      <c r="I139">
        <v>2400</v>
      </c>
      <c r="J139" t="s">
        <v>5</v>
      </c>
      <c r="K139" t="s">
        <v>35</v>
      </c>
      <c r="L139" t="s">
        <v>56</v>
      </c>
      <c r="M139" t="s">
        <v>8</v>
      </c>
    </row>
    <row r="140" spans="1:13" x14ac:dyDescent="0.25">
      <c r="A140" t="s">
        <v>154</v>
      </c>
      <c r="B140" s="2">
        <v>45716</v>
      </c>
      <c r="C140" t="s">
        <v>17</v>
      </c>
      <c r="D140" t="s">
        <v>2</v>
      </c>
      <c r="E140" t="s">
        <v>40</v>
      </c>
      <c r="F140" t="s">
        <v>12</v>
      </c>
      <c r="G140">
        <v>500</v>
      </c>
      <c r="H140">
        <v>2</v>
      </c>
      <c r="I140">
        <v>1000</v>
      </c>
      <c r="J140" t="s">
        <v>49</v>
      </c>
      <c r="K140" t="s">
        <v>44</v>
      </c>
      <c r="L140" t="s">
        <v>36</v>
      </c>
      <c r="M140" t="s">
        <v>15</v>
      </c>
    </row>
    <row r="141" spans="1:13" x14ac:dyDescent="0.25">
      <c r="A141" t="s">
        <v>204</v>
      </c>
      <c r="B141" s="2">
        <v>45716</v>
      </c>
      <c r="C141" t="s">
        <v>17</v>
      </c>
      <c r="D141" t="s">
        <v>2</v>
      </c>
      <c r="E141" t="s">
        <v>29</v>
      </c>
      <c r="F141" t="s">
        <v>12</v>
      </c>
      <c r="G141">
        <v>150</v>
      </c>
      <c r="H141">
        <v>1</v>
      </c>
      <c r="I141">
        <v>150</v>
      </c>
      <c r="J141" t="s">
        <v>19</v>
      </c>
      <c r="K141" t="s">
        <v>61</v>
      </c>
      <c r="L141" t="s">
        <v>56</v>
      </c>
      <c r="M141" t="s">
        <v>37</v>
      </c>
    </row>
    <row r="142" spans="1:13" x14ac:dyDescent="0.25">
      <c r="A142" t="s">
        <v>222</v>
      </c>
      <c r="B142" s="2">
        <v>45716</v>
      </c>
      <c r="C142" t="s">
        <v>17</v>
      </c>
      <c r="D142" t="s">
        <v>2</v>
      </c>
      <c r="E142" t="s">
        <v>54</v>
      </c>
      <c r="F142" t="s">
        <v>12</v>
      </c>
      <c r="G142">
        <v>800</v>
      </c>
      <c r="H142">
        <v>1</v>
      </c>
      <c r="I142">
        <v>800</v>
      </c>
      <c r="J142" t="s">
        <v>5</v>
      </c>
      <c r="K142" t="s">
        <v>14</v>
      </c>
      <c r="L142" t="s">
        <v>56</v>
      </c>
      <c r="M142" t="s">
        <v>15</v>
      </c>
    </row>
    <row r="143" spans="1:13" x14ac:dyDescent="0.25">
      <c r="A143" t="s">
        <v>223</v>
      </c>
      <c r="B143" s="2">
        <v>45716</v>
      </c>
      <c r="C143" t="s">
        <v>17</v>
      </c>
      <c r="D143" t="s">
        <v>2</v>
      </c>
      <c r="E143" t="s">
        <v>29</v>
      </c>
      <c r="F143" t="s">
        <v>12</v>
      </c>
      <c r="G143">
        <v>150</v>
      </c>
      <c r="H143">
        <v>2</v>
      </c>
      <c r="I143">
        <v>300</v>
      </c>
      <c r="J143" t="s">
        <v>55</v>
      </c>
      <c r="K143" t="s">
        <v>35</v>
      </c>
      <c r="L143" t="s">
        <v>36</v>
      </c>
      <c r="M143" t="s">
        <v>37</v>
      </c>
    </row>
    <row r="144" spans="1:13" x14ac:dyDescent="0.25">
      <c r="A144" t="s">
        <v>225</v>
      </c>
      <c r="B144" s="2">
        <v>45716</v>
      </c>
      <c r="C144" t="s">
        <v>17</v>
      </c>
      <c r="D144" t="s">
        <v>2</v>
      </c>
      <c r="E144" t="s">
        <v>63</v>
      </c>
      <c r="F144" t="s">
        <v>59</v>
      </c>
      <c r="G144">
        <v>1200</v>
      </c>
      <c r="H144">
        <v>1</v>
      </c>
      <c r="I144">
        <v>1200</v>
      </c>
      <c r="J144" t="s">
        <v>24</v>
      </c>
      <c r="K144" t="s">
        <v>61</v>
      </c>
      <c r="L144" t="s">
        <v>36</v>
      </c>
      <c r="M144" t="s">
        <v>37</v>
      </c>
    </row>
    <row r="145" spans="1:13" x14ac:dyDescent="0.25">
      <c r="A145" t="s">
        <v>243</v>
      </c>
      <c r="B145" s="2">
        <v>45716</v>
      </c>
      <c r="C145" t="s">
        <v>17</v>
      </c>
      <c r="D145" t="s">
        <v>2</v>
      </c>
      <c r="E145" t="s">
        <v>51</v>
      </c>
      <c r="F145" t="s">
        <v>32</v>
      </c>
      <c r="G145">
        <v>40</v>
      </c>
      <c r="H145">
        <v>4</v>
      </c>
      <c r="I145">
        <v>160</v>
      </c>
      <c r="J145" t="s">
        <v>19</v>
      </c>
      <c r="K145" t="s">
        <v>61</v>
      </c>
      <c r="L145" t="s">
        <v>21</v>
      </c>
      <c r="M145" t="s">
        <v>15</v>
      </c>
    </row>
    <row r="146" spans="1:13" x14ac:dyDescent="0.25">
      <c r="A146" t="s">
        <v>273</v>
      </c>
      <c r="B146" s="2">
        <v>45716</v>
      </c>
      <c r="C146" t="s">
        <v>17</v>
      </c>
      <c r="D146" t="s">
        <v>2</v>
      </c>
      <c r="E146" t="s">
        <v>58</v>
      </c>
      <c r="F146" t="s">
        <v>59</v>
      </c>
      <c r="G146">
        <v>600</v>
      </c>
      <c r="H146">
        <v>2</v>
      </c>
      <c r="I146">
        <v>1200</v>
      </c>
      <c r="J146" t="s">
        <v>13</v>
      </c>
      <c r="K146" t="s">
        <v>80</v>
      </c>
      <c r="L146" t="s">
        <v>56</v>
      </c>
      <c r="M146" t="s">
        <v>8</v>
      </c>
    </row>
    <row r="147" spans="1:13" x14ac:dyDescent="0.25">
      <c r="A147" t="s">
        <v>169</v>
      </c>
      <c r="B147" s="2">
        <v>45715</v>
      </c>
      <c r="C147" t="s">
        <v>17</v>
      </c>
      <c r="D147" t="s">
        <v>10</v>
      </c>
      <c r="E147" t="s">
        <v>31</v>
      </c>
      <c r="F147" t="s">
        <v>32</v>
      </c>
      <c r="G147">
        <v>20</v>
      </c>
      <c r="H147">
        <v>1</v>
      </c>
      <c r="I147">
        <v>20</v>
      </c>
      <c r="J147" t="s">
        <v>55</v>
      </c>
      <c r="K147" t="s">
        <v>6</v>
      </c>
      <c r="L147" t="s">
        <v>26</v>
      </c>
      <c r="M147" t="s">
        <v>37</v>
      </c>
    </row>
    <row r="148" spans="1:13" x14ac:dyDescent="0.25">
      <c r="A148" t="s">
        <v>196</v>
      </c>
      <c r="B148" s="2">
        <v>45715</v>
      </c>
      <c r="C148" t="s">
        <v>17</v>
      </c>
      <c r="D148" t="s">
        <v>10</v>
      </c>
      <c r="E148" t="s">
        <v>51</v>
      </c>
      <c r="F148" t="s">
        <v>32</v>
      </c>
      <c r="G148">
        <v>40</v>
      </c>
      <c r="H148">
        <v>2</v>
      </c>
      <c r="I148">
        <v>80</v>
      </c>
      <c r="J148" t="s">
        <v>52</v>
      </c>
      <c r="K148" t="s">
        <v>67</v>
      </c>
      <c r="L148" t="s">
        <v>56</v>
      </c>
      <c r="M148" t="s">
        <v>8</v>
      </c>
    </row>
    <row r="149" spans="1:13" x14ac:dyDescent="0.25">
      <c r="A149" t="s">
        <v>257</v>
      </c>
      <c r="B149" s="2">
        <v>45715</v>
      </c>
      <c r="C149" t="s">
        <v>17</v>
      </c>
      <c r="D149" t="s">
        <v>10</v>
      </c>
      <c r="E149" t="s">
        <v>11</v>
      </c>
      <c r="F149" t="s">
        <v>12</v>
      </c>
      <c r="G149">
        <v>100</v>
      </c>
      <c r="H149">
        <v>2</v>
      </c>
      <c r="I149">
        <v>200</v>
      </c>
      <c r="J149" t="s">
        <v>49</v>
      </c>
      <c r="K149" t="s">
        <v>35</v>
      </c>
      <c r="L149" t="s">
        <v>36</v>
      </c>
      <c r="M149" t="s">
        <v>37</v>
      </c>
    </row>
    <row r="150" spans="1:13" x14ac:dyDescent="0.25">
      <c r="A150" t="s">
        <v>62</v>
      </c>
      <c r="B150" s="2">
        <v>45714</v>
      </c>
      <c r="C150" t="s">
        <v>17</v>
      </c>
      <c r="D150" t="s">
        <v>23</v>
      </c>
      <c r="E150" t="s">
        <v>63</v>
      </c>
      <c r="F150" t="s">
        <v>59</v>
      </c>
      <c r="G150">
        <v>1200</v>
      </c>
      <c r="H150">
        <v>1</v>
      </c>
      <c r="I150">
        <v>1200</v>
      </c>
      <c r="J150" t="s">
        <v>19</v>
      </c>
      <c r="K150" t="s">
        <v>44</v>
      </c>
      <c r="L150" t="s">
        <v>26</v>
      </c>
      <c r="M150" t="s">
        <v>8</v>
      </c>
    </row>
    <row r="151" spans="1:13" x14ac:dyDescent="0.25">
      <c r="A151" t="s">
        <v>127</v>
      </c>
      <c r="B151" s="2">
        <v>45714</v>
      </c>
      <c r="C151" t="s">
        <v>17</v>
      </c>
      <c r="D151" t="s">
        <v>23</v>
      </c>
      <c r="E151" t="s">
        <v>11</v>
      </c>
      <c r="F151" t="s">
        <v>12</v>
      </c>
      <c r="G151">
        <v>100</v>
      </c>
      <c r="H151">
        <v>2</v>
      </c>
      <c r="I151">
        <v>200</v>
      </c>
      <c r="J151" t="s">
        <v>55</v>
      </c>
      <c r="K151" t="s">
        <v>44</v>
      </c>
      <c r="L151" t="s">
        <v>36</v>
      </c>
      <c r="M151" t="s">
        <v>15</v>
      </c>
    </row>
    <row r="152" spans="1:13" x14ac:dyDescent="0.25">
      <c r="A152" t="s">
        <v>133</v>
      </c>
      <c r="B152" s="2">
        <v>45714</v>
      </c>
      <c r="C152" t="s">
        <v>17</v>
      </c>
      <c r="D152" t="s">
        <v>23</v>
      </c>
      <c r="E152" t="s">
        <v>11</v>
      </c>
      <c r="F152" t="s">
        <v>12</v>
      </c>
      <c r="G152">
        <v>100</v>
      </c>
      <c r="H152">
        <v>3</v>
      </c>
      <c r="I152">
        <v>300</v>
      </c>
      <c r="J152" t="s">
        <v>52</v>
      </c>
      <c r="K152" t="s">
        <v>80</v>
      </c>
      <c r="L152" t="s">
        <v>36</v>
      </c>
      <c r="M152" t="s">
        <v>8</v>
      </c>
    </row>
    <row r="153" spans="1:13" x14ac:dyDescent="0.25">
      <c r="A153" t="s">
        <v>181</v>
      </c>
      <c r="B153" s="2">
        <v>45714</v>
      </c>
      <c r="C153" t="s">
        <v>17</v>
      </c>
      <c r="D153" t="s">
        <v>23</v>
      </c>
      <c r="E153" t="s">
        <v>51</v>
      </c>
      <c r="F153" t="s">
        <v>32</v>
      </c>
      <c r="G153">
        <v>40</v>
      </c>
      <c r="H153">
        <v>5</v>
      </c>
      <c r="I153">
        <v>200</v>
      </c>
      <c r="J153" t="s">
        <v>13</v>
      </c>
      <c r="K153" t="s">
        <v>6</v>
      </c>
      <c r="L153" t="s">
        <v>7</v>
      </c>
      <c r="M153" t="s">
        <v>15</v>
      </c>
    </row>
    <row r="154" spans="1:13" x14ac:dyDescent="0.25">
      <c r="A154" t="s">
        <v>183</v>
      </c>
      <c r="B154" s="2">
        <v>45714</v>
      </c>
      <c r="C154" t="s">
        <v>17</v>
      </c>
      <c r="D154" t="s">
        <v>23</v>
      </c>
      <c r="E154" t="s">
        <v>51</v>
      </c>
      <c r="F154" t="s">
        <v>32</v>
      </c>
      <c r="G154">
        <v>40</v>
      </c>
      <c r="H154">
        <v>2</v>
      </c>
      <c r="I154">
        <v>80</v>
      </c>
      <c r="J154" t="s">
        <v>55</v>
      </c>
      <c r="K154" t="s">
        <v>80</v>
      </c>
      <c r="L154" t="s">
        <v>26</v>
      </c>
      <c r="M154" t="s">
        <v>15</v>
      </c>
    </row>
    <row r="155" spans="1:13" x14ac:dyDescent="0.25">
      <c r="A155" t="s">
        <v>121</v>
      </c>
      <c r="B155" s="2">
        <v>45713</v>
      </c>
      <c r="C155" t="s">
        <v>17</v>
      </c>
      <c r="D155" t="s">
        <v>34</v>
      </c>
      <c r="E155" t="s">
        <v>63</v>
      </c>
      <c r="F155" t="s">
        <v>59</v>
      </c>
      <c r="G155">
        <v>1200</v>
      </c>
      <c r="H155">
        <v>4</v>
      </c>
      <c r="I155">
        <v>4800</v>
      </c>
      <c r="J155" t="s">
        <v>49</v>
      </c>
      <c r="K155" t="s">
        <v>44</v>
      </c>
      <c r="L155" t="s">
        <v>56</v>
      </c>
      <c r="M155" t="s">
        <v>15</v>
      </c>
    </row>
    <row r="156" spans="1:13" x14ac:dyDescent="0.25">
      <c r="A156" t="s">
        <v>138</v>
      </c>
      <c r="B156" s="2">
        <v>45713</v>
      </c>
      <c r="C156" t="s">
        <v>17</v>
      </c>
      <c r="D156" t="s">
        <v>34</v>
      </c>
      <c r="E156" t="s">
        <v>29</v>
      </c>
      <c r="F156" t="s">
        <v>12</v>
      </c>
      <c r="G156">
        <v>150</v>
      </c>
      <c r="H156">
        <v>5</v>
      </c>
      <c r="I156">
        <v>750</v>
      </c>
      <c r="J156" t="s">
        <v>79</v>
      </c>
      <c r="K156" t="s">
        <v>25</v>
      </c>
      <c r="L156" t="s">
        <v>36</v>
      </c>
      <c r="M156" t="s">
        <v>8</v>
      </c>
    </row>
    <row r="157" spans="1:13" x14ac:dyDescent="0.25">
      <c r="A157" t="s">
        <v>216</v>
      </c>
      <c r="B157" s="2">
        <v>45713</v>
      </c>
      <c r="C157" t="s">
        <v>17</v>
      </c>
      <c r="D157" t="s">
        <v>34</v>
      </c>
      <c r="E157" t="s">
        <v>29</v>
      </c>
      <c r="F157" t="s">
        <v>12</v>
      </c>
      <c r="G157">
        <v>150</v>
      </c>
      <c r="H157">
        <v>5</v>
      </c>
      <c r="I157">
        <v>750</v>
      </c>
      <c r="J157" t="s">
        <v>52</v>
      </c>
      <c r="K157" t="s">
        <v>44</v>
      </c>
      <c r="L157" t="s">
        <v>7</v>
      </c>
      <c r="M157" t="s">
        <v>15</v>
      </c>
    </row>
    <row r="158" spans="1:13" x14ac:dyDescent="0.25">
      <c r="A158" t="s">
        <v>104</v>
      </c>
      <c r="B158" s="2">
        <v>45712</v>
      </c>
      <c r="C158" t="s">
        <v>17</v>
      </c>
      <c r="D158" t="s">
        <v>28</v>
      </c>
      <c r="E158" t="s">
        <v>54</v>
      </c>
      <c r="F158" t="s">
        <v>12</v>
      </c>
      <c r="G158">
        <v>800</v>
      </c>
      <c r="H158">
        <v>3</v>
      </c>
      <c r="I158">
        <v>2400</v>
      </c>
      <c r="J158" t="s">
        <v>19</v>
      </c>
      <c r="K158" t="s">
        <v>14</v>
      </c>
      <c r="L158" t="s">
        <v>26</v>
      </c>
      <c r="M158" t="s">
        <v>15</v>
      </c>
    </row>
    <row r="159" spans="1:13" x14ac:dyDescent="0.25">
      <c r="A159" t="s">
        <v>128</v>
      </c>
      <c r="B159" s="2">
        <v>45712</v>
      </c>
      <c r="C159" t="s">
        <v>17</v>
      </c>
      <c r="D159" t="s">
        <v>28</v>
      </c>
      <c r="E159" t="s">
        <v>58</v>
      </c>
      <c r="F159" t="s">
        <v>59</v>
      </c>
      <c r="G159">
        <v>600</v>
      </c>
      <c r="H159">
        <v>1</v>
      </c>
      <c r="I159">
        <v>600</v>
      </c>
      <c r="J159" t="s">
        <v>79</v>
      </c>
      <c r="K159" t="s">
        <v>25</v>
      </c>
      <c r="L159" t="s">
        <v>21</v>
      </c>
      <c r="M159" t="s">
        <v>37</v>
      </c>
    </row>
    <row r="160" spans="1:13" x14ac:dyDescent="0.25">
      <c r="A160" t="s">
        <v>134</v>
      </c>
      <c r="B160" s="2">
        <v>45712</v>
      </c>
      <c r="C160" t="s">
        <v>17</v>
      </c>
      <c r="D160" t="s">
        <v>28</v>
      </c>
      <c r="E160" t="s">
        <v>40</v>
      </c>
      <c r="F160" t="s">
        <v>12</v>
      </c>
      <c r="G160">
        <v>500</v>
      </c>
      <c r="H160">
        <v>3</v>
      </c>
      <c r="I160">
        <v>1500</v>
      </c>
      <c r="J160" t="s">
        <v>79</v>
      </c>
      <c r="K160" t="s">
        <v>61</v>
      </c>
      <c r="L160" t="s">
        <v>7</v>
      </c>
      <c r="M160" t="s">
        <v>8</v>
      </c>
    </row>
    <row r="161" spans="1:13" x14ac:dyDescent="0.25">
      <c r="A161" t="s">
        <v>210</v>
      </c>
      <c r="B161" s="2">
        <v>45712</v>
      </c>
      <c r="C161" t="s">
        <v>17</v>
      </c>
      <c r="D161" t="s">
        <v>28</v>
      </c>
      <c r="E161" t="s">
        <v>54</v>
      </c>
      <c r="F161" t="s">
        <v>12</v>
      </c>
      <c r="G161">
        <v>800</v>
      </c>
      <c r="H161">
        <v>3</v>
      </c>
      <c r="I161">
        <v>2400</v>
      </c>
      <c r="J161" t="s">
        <v>71</v>
      </c>
      <c r="K161" t="s">
        <v>42</v>
      </c>
      <c r="L161" t="s">
        <v>7</v>
      </c>
      <c r="M161" t="s">
        <v>15</v>
      </c>
    </row>
    <row r="162" spans="1:13" x14ac:dyDescent="0.25">
      <c r="A162" t="s">
        <v>73</v>
      </c>
      <c r="B162" s="2">
        <v>45711</v>
      </c>
      <c r="C162" t="s">
        <v>17</v>
      </c>
      <c r="D162" t="s">
        <v>39</v>
      </c>
      <c r="E162" t="s">
        <v>47</v>
      </c>
      <c r="F162" t="s">
        <v>48</v>
      </c>
      <c r="G162">
        <v>15</v>
      </c>
      <c r="H162">
        <v>1</v>
      </c>
      <c r="I162">
        <v>15</v>
      </c>
      <c r="J162" t="s">
        <v>5</v>
      </c>
      <c r="K162" t="s">
        <v>35</v>
      </c>
      <c r="L162" t="s">
        <v>26</v>
      </c>
      <c r="M162" t="s">
        <v>15</v>
      </c>
    </row>
    <row r="163" spans="1:13" x14ac:dyDescent="0.25">
      <c r="A163" t="s">
        <v>120</v>
      </c>
      <c r="B163" s="2">
        <v>45711</v>
      </c>
      <c r="C163" t="s">
        <v>17</v>
      </c>
      <c r="D163" t="s">
        <v>39</v>
      </c>
      <c r="E163" t="s">
        <v>11</v>
      </c>
      <c r="F163" t="s">
        <v>12</v>
      </c>
      <c r="G163">
        <v>100</v>
      </c>
      <c r="H163">
        <v>1</v>
      </c>
      <c r="I163">
        <v>100</v>
      </c>
      <c r="J163" t="s">
        <v>49</v>
      </c>
      <c r="K163" t="s">
        <v>35</v>
      </c>
      <c r="L163" t="s">
        <v>7</v>
      </c>
      <c r="M163" t="s">
        <v>8</v>
      </c>
    </row>
    <row r="164" spans="1:13" x14ac:dyDescent="0.25">
      <c r="A164" t="s">
        <v>132</v>
      </c>
      <c r="B164" s="2">
        <v>45711</v>
      </c>
      <c r="C164" t="s">
        <v>17</v>
      </c>
      <c r="D164" t="s">
        <v>39</v>
      </c>
      <c r="E164" t="s">
        <v>3</v>
      </c>
      <c r="F164" t="s">
        <v>4</v>
      </c>
      <c r="G164">
        <v>60</v>
      </c>
      <c r="H164">
        <v>4</v>
      </c>
      <c r="I164">
        <v>240</v>
      </c>
      <c r="J164" t="s">
        <v>41</v>
      </c>
      <c r="K164" t="s">
        <v>14</v>
      </c>
      <c r="L164" t="s">
        <v>7</v>
      </c>
      <c r="M164" t="s">
        <v>15</v>
      </c>
    </row>
    <row r="165" spans="1:13" x14ac:dyDescent="0.25">
      <c r="A165" t="s">
        <v>166</v>
      </c>
      <c r="B165" s="2">
        <v>45711</v>
      </c>
      <c r="C165" t="s">
        <v>17</v>
      </c>
      <c r="D165" t="s">
        <v>39</v>
      </c>
      <c r="E165" t="s">
        <v>3</v>
      </c>
      <c r="F165" t="s">
        <v>4</v>
      </c>
      <c r="G165">
        <v>60</v>
      </c>
      <c r="H165">
        <v>1</v>
      </c>
      <c r="I165">
        <v>60</v>
      </c>
      <c r="J165" t="s">
        <v>5</v>
      </c>
      <c r="K165" t="s">
        <v>35</v>
      </c>
      <c r="L165" t="s">
        <v>26</v>
      </c>
      <c r="M165" t="s">
        <v>15</v>
      </c>
    </row>
    <row r="166" spans="1:13" x14ac:dyDescent="0.25">
      <c r="A166" t="s">
        <v>175</v>
      </c>
      <c r="B166" s="2">
        <v>45711</v>
      </c>
      <c r="C166" t="s">
        <v>17</v>
      </c>
      <c r="D166" t="s">
        <v>39</v>
      </c>
      <c r="E166" t="s">
        <v>47</v>
      </c>
      <c r="F166" t="s">
        <v>48</v>
      </c>
      <c r="G166">
        <v>15</v>
      </c>
      <c r="H166">
        <v>3</v>
      </c>
      <c r="I166">
        <v>45</v>
      </c>
      <c r="J166" t="s">
        <v>71</v>
      </c>
      <c r="K166" t="s">
        <v>44</v>
      </c>
      <c r="L166" t="s">
        <v>56</v>
      </c>
      <c r="M166" t="s">
        <v>8</v>
      </c>
    </row>
    <row r="167" spans="1:13" x14ac:dyDescent="0.25">
      <c r="A167" t="s">
        <v>177</v>
      </c>
      <c r="B167" s="2">
        <v>45711</v>
      </c>
      <c r="C167" t="s">
        <v>17</v>
      </c>
      <c r="D167" t="s">
        <v>39</v>
      </c>
      <c r="E167" t="s">
        <v>40</v>
      </c>
      <c r="F167" t="s">
        <v>12</v>
      </c>
      <c r="G167">
        <v>500</v>
      </c>
      <c r="H167">
        <v>1</v>
      </c>
      <c r="I167">
        <v>500</v>
      </c>
      <c r="J167" t="s">
        <v>13</v>
      </c>
      <c r="K167" t="s">
        <v>20</v>
      </c>
      <c r="L167" t="s">
        <v>21</v>
      </c>
      <c r="M167" t="s">
        <v>37</v>
      </c>
    </row>
    <row r="168" spans="1:13" x14ac:dyDescent="0.25">
      <c r="A168" t="s">
        <v>185</v>
      </c>
      <c r="B168" s="2">
        <v>45711</v>
      </c>
      <c r="C168" t="s">
        <v>17</v>
      </c>
      <c r="D168" t="s">
        <v>39</v>
      </c>
      <c r="E168" t="s">
        <v>54</v>
      </c>
      <c r="F168" t="s">
        <v>12</v>
      </c>
      <c r="G168">
        <v>800</v>
      </c>
      <c r="H168">
        <v>1</v>
      </c>
      <c r="I168">
        <v>800</v>
      </c>
      <c r="J168" t="s">
        <v>13</v>
      </c>
      <c r="K168" t="s">
        <v>6</v>
      </c>
      <c r="L168" t="s">
        <v>21</v>
      </c>
      <c r="M168" t="s">
        <v>15</v>
      </c>
    </row>
    <row r="169" spans="1:13" x14ac:dyDescent="0.25">
      <c r="A169" t="s">
        <v>205</v>
      </c>
      <c r="B169" s="2">
        <v>45711</v>
      </c>
      <c r="C169" t="s">
        <v>17</v>
      </c>
      <c r="D169" t="s">
        <v>39</v>
      </c>
      <c r="E169" t="s">
        <v>29</v>
      </c>
      <c r="F169" t="s">
        <v>12</v>
      </c>
      <c r="G169">
        <v>150</v>
      </c>
      <c r="H169">
        <v>5</v>
      </c>
      <c r="I169">
        <v>750</v>
      </c>
      <c r="J169" t="s">
        <v>41</v>
      </c>
      <c r="K169" t="s">
        <v>14</v>
      </c>
      <c r="L169" t="s">
        <v>36</v>
      </c>
      <c r="M169" t="s">
        <v>15</v>
      </c>
    </row>
    <row r="170" spans="1:13" x14ac:dyDescent="0.25">
      <c r="A170" t="s">
        <v>242</v>
      </c>
      <c r="B170" s="2">
        <v>45711</v>
      </c>
      <c r="C170" t="s">
        <v>17</v>
      </c>
      <c r="D170" t="s">
        <v>39</v>
      </c>
      <c r="E170" t="s">
        <v>3</v>
      </c>
      <c r="F170" t="s">
        <v>4</v>
      </c>
      <c r="G170">
        <v>60</v>
      </c>
      <c r="H170">
        <v>1</v>
      </c>
      <c r="I170">
        <v>60</v>
      </c>
      <c r="J170" t="s">
        <v>41</v>
      </c>
      <c r="K170" t="s">
        <v>35</v>
      </c>
      <c r="L170" t="s">
        <v>36</v>
      </c>
      <c r="M170" t="s">
        <v>37</v>
      </c>
    </row>
    <row r="171" spans="1:13" x14ac:dyDescent="0.25">
      <c r="A171" t="s">
        <v>156</v>
      </c>
      <c r="B171" s="2">
        <v>45710</v>
      </c>
      <c r="C171" t="s">
        <v>17</v>
      </c>
      <c r="D171" t="s">
        <v>18</v>
      </c>
      <c r="E171" t="s">
        <v>51</v>
      </c>
      <c r="F171" t="s">
        <v>32</v>
      </c>
      <c r="G171">
        <v>40</v>
      </c>
      <c r="H171">
        <v>5</v>
      </c>
      <c r="I171">
        <v>200</v>
      </c>
      <c r="J171" t="s">
        <v>79</v>
      </c>
      <c r="K171" t="s">
        <v>25</v>
      </c>
      <c r="L171" t="s">
        <v>7</v>
      </c>
      <c r="M171" t="s">
        <v>15</v>
      </c>
    </row>
    <row r="172" spans="1:13" x14ac:dyDescent="0.25">
      <c r="A172" t="s">
        <v>213</v>
      </c>
      <c r="B172" s="2">
        <v>45710</v>
      </c>
      <c r="C172" t="s">
        <v>17</v>
      </c>
      <c r="D172" t="s">
        <v>18</v>
      </c>
      <c r="E172" t="s">
        <v>11</v>
      </c>
      <c r="F172" t="s">
        <v>12</v>
      </c>
      <c r="G172">
        <v>100</v>
      </c>
      <c r="H172">
        <v>1</v>
      </c>
      <c r="I172">
        <v>100</v>
      </c>
      <c r="J172" t="s">
        <v>13</v>
      </c>
      <c r="K172" t="s">
        <v>67</v>
      </c>
      <c r="L172" t="s">
        <v>26</v>
      </c>
      <c r="M172" t="s">
        <v>37</v>
      </c>
    </row>
    <row r="173" spans="1:13" x14ac:dyDescent="0.25">
      <c r="A173" t="s">
        <v>251</v>
      </c>
      <c r="B173" s="2">
        <v>45710</v>
      </c>
      <c r="C173" t="s">
        <v>17</v>
      </c>
      <c r="D173" t="s">
        <v>18</v>
      </c>
      <c r="E173" t="s">
        <v>40</v>
      </c>
      <c r="F173" t="s">
        <v>12</v>
      </c>
      <c r="G173">
        <v>500</v>
      </c>
      <c r="H173">
        <v>3</v>
      </c>
      <c r="I173">
        <v>1500</v>
      </c>
      <c r="J173" t="s">
        <v>71</v>
      </c>
      <c r="K173" t="s">
        <v>25</v>
      </c>
      <c r="L173" t="s">
        <v>26</v>
      </c>
      <c r="M173" t="s">
        <v>37</v>
      </c>
    </row>
    <row r="174" spans="1:13" x14ac:dyDescent="0.25">
      <c r="A174" t="s">
        <v>254</v>
      </c>
      <c r="B174" s="2">
        <v>45709</v>
      </c>
      <c r="C174" t="s">
        <v>17</v>
      </c>
      <c r="D174" t="s">
        <v>2</v>
      </c>
      <c r="E174" t="s">
        <v>40</v>
      </c>
      <c r="F174" t="s">
        <v>12</v>
      </c>
      <c r="G174">
        <v>500</v>
      </c>
      <c r="H174">
        <v>2</v>
      </c>
      <c r="I174">
        <v>1000</v>
      </c>
      <c r="J174" t="s">
        <v>55</v>
      </c>
      <c r="K174" t="s">
        <v>42</v>
      </c>
      <c r="L174" t="s">
        <v>26</v>
      </c>
      <c r="M174" t="s">
        <v>8</v>
      </c>
    </row>
    <row r="175" spans="1:13" x14ac:dyDescent="0.25">
      <c r="A175" t="s">
        <v>255</v>
      </c>
      <c r="B175" s="2">
        <v>45709</v>
      </c>
      <c r="C175" t="s">
        <v>17</v>
      </c>
      <c r="D175" t="s">
        <v>2</v>
      </c>
      <c r="E175" t="s">
        <v>63</v>
      </c>
      <c r="F175" t="s">
        <v>59</v>
      </c>
      <c r="G175">
        <v>1200</v>
      </c>
      <c r="H175">
        <v>3</v>
      </c>
      <c r="I175">
        <v>3600</v>
      </c>
      <c r="J175" t="s">
        <v>19</v>
      </c>
      <c r="K175" t="s">
        <v>25</v>
      </c>
      <c r="L175" t="s">
        <v>7</v>
      </c>
      <c r="M175" t="s">
        <v>37</v>
      </c>
    </row>
    <row r="176" spans="1:13" x14ac:dyDescent="0.25">
      <c r="A176" t="s">
        <v>60</v>
      </c>
      <c r="B176" s="2">
        <v>45708</v>
      </c>
      <c r="C176" t="s">
        <v>17</v>
      </c>
      <c r="D176" t="s">
        <v>10</v>
      </c>
      <c r="E176" t="s">
        <v>29</v>
      </c>
      <c r="F176" t="s">
        <v>12</v>
      </c>
      <c r="G176">
        <v>150</v>
      </c>
      <c r="H176">
        <v>4</v>
      </c>
      <c r="I176">
        <v>600</v>
      </c>
      <c r="J176" t="s">
        <v>19</v>
      </c>
      <c r="K176" t="s">
        <v>61</v>
      </c>
      <c r="L176" t="s">
        <v>26</v>
      </c>
      <c r="M176" t="s">
        <v>37</v>
      </c>
    </row>
    <row r="177" spans="1:13" x14ac:dyDescent="0.25">
      <c r="A177" t="s">
        <v>93</v>
      </c>
      <c r="B177" s="2">
        <v>45708</v>
      </c>
      <c r="C177" t="s">
        <v>17</v>
      </c>
      <c r="D177" t="s">
        <v>10</v>
      </c>
      <c r="E177" t="s">
        <v>47</v>
      </c>
      <c r="F177" t="s">
        <v>48</v>
      </c>
      <c r="G177">
        <v>15</v>
      </c>
      <c r="H177">
        <v>1</v>
      </c>
      <c r="I177">
        <v>15</v>
      </c>
      <c r="J177" t="s">
        <v>79</v>
      </c>
      <c r="K177" t="s">
        <v>42</v>
      </c>
      <c r="L177" t="s">
        <v>26</v>
      </c>
      <c r="M177" t="s">
        <v>8</v>
      </c>
    </row>
    <row r="178" spans="1:13" x14ac:dyDescent="0.25">
      <c r="A178" t="s">
        <v>125</v>
      </c>
      <c r="B178" s="2">
        <v>45708</v>
      </c>
      <c r="C178" t="s">
        <v>17</v>
      </c>
      <c r="D178" t="s">
        <v>10</v>
      </c>
      <c r="E178" t="s">
        <v>40</v>
      </c>
      <c r="F178" t="s">
        <v>12</v>
      </c>
      <c r="G178">
        <v>500</v>
      </c>
      <c r="H178">
        <v>5</v>
      </c>
      <c r="I178">
        <v>2500</v>
      </c>
      <c r="J178" t="s">
        <v>13</v>
      </c>
      <c r="K178" t="s">
        <v>42</v>
      </c>
      <c r="L178" t="s">
        <v>26</v>
      </c>
      <c r="M178" t="s">
        <v>8</v>
      </c>
    </row>
    <row r="179" spans="1:13" x14ac:dyDescent="0.25">
      <c r="A179" t="s">
        <v>153</v>
      </c>
      <c r="B179" s="2">
        <v>45708</v>
      </c>
      <c r="C179" t="s">
        <v>17</v>
      </c>
      <c r="D179" t="s">
        <v>10</v>
      </c>
      <c r="E179" t="s">
        <v>47</v>
      </c>
      <c r="F179" t="s">
        <v>48</v>
      </c>
      <c r="G179">
        <v>15</v>
      </c>
      <c r="H179">
        <v>5</v>
      </c>
      <c r="I179">
        <v>75</v>
      </c>
      <c r="J179" t="s">
        <v>19</v>
      </c>
      <c r="K179" t="s">
        <v>20</v>
      </c>
      <c r="L179" t="s">
        <v>36</v>
      </c>
      <c r="M179" t="s">
        <v>15</v>
      </c>
    </row>
    <row r="180" spans="1:13" x14ac:dyDescent="0.25">
      <c r="A180" t="s">
        <v>215</v>
      </c>
      <c r="B180" s="2">
        <v>45708</v>
      </c>
      <c r="C180" t="s">
        <v>17</v>
      </c>
      <c r="D180" t="s">
        <v>10</v>
      </c>
      <c r="E180" t="s">
        <v>3</v>
      </c>
      <c r="F180" t="s">
        <v>4</v>
      </c>
      <c r="G180">
        <v>60</v>
      </c>
      <c r="H180">
        <v>2</v>
      </c>
      <c r="I180">
        <v>120</v>
      </c>
      <c r="J180" t="s">
        <v>71</v>
      </c>
      <c r="K180" t="s">
        <v>35</v>
      </c>
      <c r="L180" t="s">
        <v>36</v>
      </c>
      <c r="M180" t="s">
        <v>37</v>
      </c>
    </row>
    <row r="181" spans="1:13" x14ac:dyDescent="0.25">
      <c r="A181" t="s">
        <v>246</v>
      </c>
      <c r="B181" s="2">
        <v>45708</v>
      </c>
      <c r="C181" t="s">
        <v>17</v>
      </c>
      <c r="D181" t="s">
        <v>10</v>
      </c>
      <c r="E181" t="s">
        <v>51</v>
      </c>
      <c r="F181" t="s">
        <v>32</v>
      </c>
      <c r="G181">
        <v>40</v>
      </c>
      <c r="H181">
        <v>4</v>
      </c>
      <c r="I181">
        <v>160</v>
      </c>
      <c r="J181" t="s">
        <v>19</v>
      </c>
      <c r="K181" t="s">
        <v>14</v>
      </c>
      <c r="L181" t="s">
        <v>7</v>
      </c>
      <c r="M181" t="s">
        <v>8</v>
      </c>
    </row>
    <row r="182" spans="1:13" x14ac:dyDescent="0.25">
      <c r="A182" t="s">
        <v>250</v>
      </c>
      <c r="B182" s="2">
        <v>45708</v>
      </c>
      <c r="C182" t="s">
        <v>17</v>
      </c>
      <c r="D182" t="s">
        <v>10</v>
      </c>
      <c r="E182" t="s">
        <v>54</v>
      </c>
      <c r="F182" t="s">
        <v>12</v>
      </c>
      <c r="G182">
        <v>800</v>
      </c>
      <c r="H182">
        <v>4</v>
      </c>
      <c r="I182">
        <v>3200</v>
      </c>
      <c r="J182" t="s">
        <v>79</v>
      </c>
      <c r="K182" t="s">
        <v>61</v>
      </c>
      <c r="L182" t="s">
        <v>21</v>
      </c>
      <c r="M182" t="s">
        <v>15</v>
      </c>
    </row>
    <row r="183" spans="1:13" x14ac:dyDescent="0.25">
      <c r="A183" t="s">
        <v>285</v>
      </c>
      <c r="B183" s="2">
        <v>45708</v>
      </c>
      <c r="C183" t="s">
        <v>17</v>
      </c>
      <c r="D183" t="s">
        <v>10</v>
      </c>
      <c r="E183" t="s">
        <v>3</v>
      </c>
      <c r="F183" t="s">
        <v>4</v>
      </c>
      <c r="G183">
        <v>60</v>
      </c>
      <c r="H183">
        <v>1</v>
      </c>
      <c r="I183">
        <v>60</v>
      </c>
      <c r="J183" t="s">
        <v>49</v>
      </c>
      <c r="K183" t="s">
        <v>44</v>
      </c>
      <c r="L183" t="s">
        <v>36</v>
      </c>
      <c r="M183" t="s">
        <v>8</v>
      </c>
    </row>
    <row r="184" spans="1:13" x14ac:dyDescent="0.25">
      <c r="A184" t="s">
        <v>22</v>
      </c>
      <c r="B184" s="2">
        <v>45707</v>
      </c>
      <c r="C184" t="s">
        <v>17</v>
      </c>
      <c r="D184" t="s">
        <v>23</v>
      </c>
      <c r="E184" t="s">
        <v>3</v>
      </c>
      <c r="F184" t="s">
        <v>4</v>
      </c>
      <c r="G184">
        <v>60</v>
      </c>
      <c r="H184">
        <v>3</v>
      </c>
      <c r="I184">
        <v>180</v>
      </c>
      <c r="J184" t="s">
        <v>24</v>
      </c>
      <c r="K184" t="s">
        <v>25</v>
      </c>
      <c r="L184" t="s">
        <v>26</v>
      </c>
      <c r="M184" t="s">
        <v>15</v>
      </c>
    </row>
    <row r="185" spans="1:13" x14ac:dyDescent="0.25">
      <c r="A185" t="s">
        <v>103</v>
      </c>
      <c r="B185" s="2">
        <v>45707</v>
      </c>
      <c r="C185" t="s">
        <v>17</v>
      </c>
      <c r="D185" t="s">
        <v>23</v>
      </c>
      <c r="E185" t="s">
        <v>47</v>
      </c>
      <c r="F185" t="s">
        <v>48</v>
      </c>
      <c r="G185">
        <v>15</v>
      </c>
      <c r="H185">
        <v>1</v>
      </c>
      <c r="I185">
        <v>15</v>
      </c>
      <c r="J185" t="s">
        <v>5</v>
      </c>
      <c r="K185" t="s">
        <v>35</v>
      </c>
      <c r="L185" t="s">
        <v>56</v>
      </c>
      <c r="M185" t="s">
        <v>8</v>
      </c>
    </row>
    <row r="186" spans="1:13" x14ac:dyDescent="0.25">
      <c r="A186" t="s">
        <v>302</v>
      </c>
      <c r="B186" s="2">
        <v>45707</v>
      </c>
      <c r="C186" t="s">
        <v>17</v>
      </c>
      <c r="D186" t="s">
        <v>23</v>
      </c>
      <c r="E186" t="s">
        <v>40</v>
      </c>
      <c r="F186" t="s">
        <v>12</v>
      </c>
      <c r="G186">
        <v>500</v>
      </c>
      <c r="H186">
        <v>4</v>
      </c>
      <c r="I186">
        <v>2000</v>
      </c>
      <c r="J186" t="s">
        <v>13</v>
      </c>
      <c r="K186" t="s">
        <v>61</v>
      </c>
      <c r="L186" t="s">
        <v>21</v>
      </c>
      <c r="M186" t="s">
        <v>37</v>
      </c>
    </row>
    <row r="187" spans="1:13" x14ac:dyDescent="0.25">
      <c r="A187" t="s">
        <v>101</v>
      </c>
      <c r="B187" s="2">
        <v>45706</v>
      </c>
      <c r="C187" t="s">
        <v>17</v>
      </c>
      <c r="D187" t="s">
        <v>34</v>
      </c>
      <c r="E187" t="s">
        <v>40</v>
      </c>
      <c r="F187" t="s">
        <v>12</v>
      </c>
      <c r="G187">
        <v>500</v>
      </c>
      <c r="H187">
        <v>4</v>
      </c>
      <c r="I187">
        <v>2000</v>
      </c>
      <c r="J187" t="s">
        <v>5</v>
      </c>
      <c r="K187" t="s">
        <v>80</v>
      </c>
      <c r="L187" t="s">
        <v>7</v>
      </c>
      <c r="M187" t="s">
        <v>37</v>
      </c>
    </row>
    <row r="188" spans="1:13" x14ac:dyDescent="0.25">
      <c r="A188" t="s">
        <v>151</v>
      </c>
      <c r="B188" s="2">
        <v>45706</v>
      </c>
      <c r="C188" t="s">
        <v>17</v>
      </c>
      <c r="D188" t="s">
        <v>34</v>
      </c>
      <c r="E188" t="s">
        <v>58</v>
      </c>
      <c r="F188" t="s">
        <v>59</v>
      </c>
      <c r="G188">
        <v>600</v>
      </c>
      <c r="H188">
        <v>5</v>
      </c>
      <c r="I188">
        <v>3000</v>
      </c>
      <c r="J188" t="s">
        <v>52</v>
      </c>
      <c r="K188" t="s">
        <v>61</v>
      </c>
      <c r="L188" t="s">
        <v>7</v>
      </c>
      <c r="M188" t="s">
        <v>37</v>
      </c>
    </row>
    <row r="189" spans="1:13" x14ac:dyDescent="0.25">
      <c r="A189" t="s">
        <v>162</v>
      </c>
      <c r="B189" s="2">
        <v>45706</v>
      </c>
      <c r="C189" t="s">
        <v>17</v>
      </c>
      <c r="D189" t="s">
        <v>34</v>
      </c>
      <c r="E189" t="s">
        <v>40</v>
      </c>
      <c r="F189" t="s">
        <v>12</v>
      </c>
      <c r="G189">
        <v>500</v>
      </c>
      <c r="H189">
        <v>5</v>
      </c>
      <c r="I189">
        <v>2500</v>
      </c>
      <c r="J189" t="s">
        <v>24</v>
      </c>
      <c r="K189" t="s">
        <v>25</v>
      </c>
      <c r="L189" t="s">
        <v>21</v>
      </c>
      <c r="M189" t="s">
        <v>15</v>
      </c>
    </row>
    <row r="190" spans="1:13" x14ac:dyDescent="0.25">
      <c r="A190" t="s">
        <v>173</v>
      </c>
      <c r="B190" s="2">
        <v>45706</v>
      </c>
      <c r="C190" t="s">
        <v>17</v>
      </c>
      <c r="D190" t="s">
        <v>34</v>
      </c>
      <c r="E190" t="s">
        <v>40</v>
      </c>
      <c r="F190" t="s">
        <v>12</v>
      </c>
      <c r="G190">
        <v>500</v>
      </c>
      <c r="H190">
        <v>1</v>
      </c>
      <c r="I190">
        <v>500</v>
      </c>
      <c r="J190" t="s">
        <v>19</v>
      </c>
      <c r="K190" t="s">
        <v>25</v>
      </c>
      <c r="L190" t="s">
        <v>56</v>
      </c>
      <c r="M190" t="s">
        <v>15</v>
      </c>
    </row>
    <row r="191" spans="1:13" x14ac:dyDescent="0.25">
      <c r="A191" t="s">
        <v>179</v>
      </c>
      <c r="B191" s="2">
        <v>45706</v>
      </c>
      <c r="C191" t="s">
        <v>17</v>
      </c>
      <c r="D191" t="s">
        <v>34</v>
      </c>
      <c r="E191" t="s">
        <v>31</v>
      </c>
      <c r="F191" t="s">
        <v>32</v>
      </c>
      <c r="G191">
        <v>20</v>
      </c>
      <c r="H191">
        <v>3</v>
      </c>
      <c r="I191">
        <v>60</v>
      </c>
      <c r="J191" t="s">
        <v>5</v>
      </c>
      <c r="K191" t="s">
        <v>25</v>
      </c>
      <c r="L191" t="s">
        <v>7</v>
      </c>
      <c r="M191" t="s">
        <v>37</v>
      </c>
    </row>
    <row r="192" spans="1:13" x14ac:dyDescent="0.25">
      <c r="A192" t="s">
        <v>266</v>
      </c>
      <c r="B192" s="2">
        <v>45706</v>
      </c>
      <c r="C192" t="s">
        <v>17</v>
      </c>
      <c r="D192" t="s">
        <v>34</v>
      </c>
      <c r="E192" t="s">
        <v>29</v>
      </c>
      <c r="F192" t="s">
        <v>12</v>
      </c>
      <c r="G192">
        <v>150</v>
      </c>
      <c r="H192">
        <v>5</v>
      </c>
      <c r="I192">
        <v>750</v>
      </c>
      <c r="J192" t="s">
        <v>13</v>
      </c>
      <c r="K192" t="s">
        <v>35</v>
      </c>
      <c r="L192" t="s">
        <v>7</v>
      </c>
      <c r="M192" t="s">
        <v>37</v>
      </c>
    </row>
    <row r="193" spans="1:13" x14ac:dyDescent="0.25">
      <c r="A193" t="s">
        <v>46</v>
      </c>
      <c r="B193" s="2">
        <v>45705</v>
      </c>
      <c r="C193" t="s">
        <v>17</v>
      </c>
      <c r="D193" t="s">
        <v>28</v>
      </c>
      <c r="E193" t="s">
        <v>47</v>
      </c>
      <c r="F193" t="s">
        <v>48</v>
      </c>
      <c r="G193">
        <v>15</v>
      </c>
      <c r="H193">
        <v>2</v>
      </c>
      <c r="I193">
        <v>30</v>
      </c>
      <c r="J193" t="s">
        <v>49</v>
      </c>
      <c r="K193" t="s">
        <v>44</v>
      </c>
      <c r="L193" t="s">
        <v>21</v>
      </c>
      <c r="M193" t="s">
        <v>15</v>
      </c>
    </row>
    <row r="194" spans="1:13" x14ac:dyDescent="0.25">
      <c r="A194" t="s">
        <v>147</v>
      </c>
      <c r="B194" s="2">
        <v>45705</v>
      </c>
      <c r="C194" t="s">
        <v>17</v>
      </c>
      <c r="D194" t="s">
        <v>28</v>
      </c>
      <c r="E194" t="s">
        <v>29</v>
      </c>
      <c r="F194" t="s">
        <v>12</v>
      </c>
      <c r="G194">
        <v>150</v>
      </c>
      <c r="H194">
        <v>4</v>
      </c>
      <c r="I194">
        <v>600</v>
      </c>
      <c r="J194" t="s">
        <v>71</v>
      </c>
      <c r="K194" t="s">
        <v>6</v>
      </c>
      <c r="L194" t="s">
        <v>7</v>
      </c>
      <c r="M194" t="s">
        <v>8</v>
      </c>
    </row>
    <row r="195" spans="1:13" x14ac:dyDescent="0.25">
      <c r="A195" t="s">
        <v>236</v>
      </c>
      <c r="B195" s="2">
        <v>45705</v>
      </c>
      <c r="C195" t="s">
        <v>17</v>
      </c>
      <c r="D195" t="s">
        <v>28</v>
      </c>
      <c r="E195" t="s">
        <v>47</v>
      </c>
      <c r="F195" t="s">
        <v>48</v>
      </c>
      <c r="G195">
        <v>15</v>
      </c>
      <c r="H195">
        <v>5</v>
      </c>
      <c r="I195">
        <v>75</v>
      </c>
      <c r="J195" t="s">
        <v>55</v>
      </c>
      <c r="K195" t="s">
        <v>42</v>
      </c>
      <c r="L195" t="s">
        <v>7</v>
      </c>
      <c r="M195" t="s">
        <v>15</v>
      </c>
    </row>
    <row r="196" spans="1:13" x14ac:dyDescent="0.25">
      <c r="A196" t="s">
        <v>271</v>
      </c>
      <c r="B196" s="2">
        <v>45705</v>
      </c>
      <c r="C196" t="s">
        <v>17</v>
      </c>
      <c r="D196" t="s">
        <v>28</v>
      </c>
      <c r="E196" t="s">
        <v>11</v>
      </c>
      <c r="F196" t="s">
        <v>12</v>
      </c>
      <c r="G196">
        <v>100</v>
      </c>
      <c r="H196">
        <v>3</v>
      </c>
      <c r="I196">
        <v>300</v>
      </c>
      <c r="J196" t="s">
        <v>49</v>
      </c>
      <c r="K196" t="s">
        <v>35</v>
      </c>
      <c r="L196" t="s">
        <v>36</v>
      </c>
      <c r="M196" t="s">
        <v>8</v>
      </c>
    </row>
    <row r="197" spans="1:13" x14ac:dyDescent="0.25">
      <c r="A197" t="s">
        <v>89</v>
      </c>
      <c r="B197" s="2">
        <v>45704</v>
      </c>
      <c r="C197" t="s">
        <v>17</v>
      </c>
      <c r="D197" t="s">
        <v>39</v>
      </c>
      <c r="E197" t="s">
        <v>11</v>
      </c>
      <c r="F197" t="s">
        <v>12</v>
      </c>
      <c r="G197">
        <v>100</v>
      </c>
      <c r="H197">
        <v>3</v>
      </c>
      <c r="I197">
        <v>300</v>
      </c>
      <c r="J197" t="s">
        <v>52</v>
      </c>
      <c r="K197" t="s">
        <v>6</v>
      </c>
      <c r="L197" t="s">
        <v>7</v>
      </c>
      <c r="M197" t="s">
        <v>8</v>
      </c>
    </row>
    <row r="198" spans="1:13" x14ac:dyDescent="0.25">
      <c r="A198" t="s">
        <v>172</v>
      </c>
      <c r="B198" s="2">
        <v>45704</v>
      </c>
      <c r="C198" t="s">
        <v>17</v>
      </c>
      <c r="D198" t="s">
        <v>39</v>
      </c>
      <c r="E198" t="s">
        <v>54</v>
      </c>
      <c r="F198" t="s">
        <v>12</v>
      </c>
      <c r="G198">
        <v>800</v>
      </c>
      <c r="H198">
        <v>5</v>
      </c>
      <c r="I198">
        <v>4000</v>
      </c>
      <c r="J198" t="s">
        <v>13</v>
      </c>
      <c r="K198" t="s">
        <v>20</v>
      </c>
      <c r="L198" t="s">
        <v>36</v>
      </c>
      <c r="M198" t="s">
        <v>37</v>
      </c>
    </row>
    <row r="199" spans="1:13" x14ac:dyDescent="0.25">
      <c r="A199" t="s">
        <v>211</v>
      </c>
      <c r="B199" s="2">
        <v>45704</v>
      </c>
      <c r="C199" t="s">
        <v>17</v>
      </c>
      <c r="D199" t="s">
        <v>39</v>
      </c>
      <c r="E199" t="s">
        <v>31</v>
      </c>
      <c r="F199" t="s">
        <v>32</v>
      </c>
      <c r="G199">
        <v>20</v>
      </c>
      <c r="H199">
        <v>2</v>
      </c>
      <c r="I199">
        <v>40</v>
      </c>
      <c r="J199" t="s">
        <v>49</v>
      </c>
      <c r="K199" t="s">
        <v>25</v>
      </c>
      <c r="L199" t="s">
        <v>56</v>
      </c>
      <c r="M199" t="s">
        <v>8</v>
      </c>
    </row>
    <row r="200" spans="1:13" x14ac:dyDescent="0.25">
      <c r="A200" t="s">
        <v>274</v>
      </c>
      <c r="B200" s="2">
        <v>45704</v>
      </c>
      <c r="C200" t="s">
        <v>17</v>
      </c>
      <c r="D200" t="s">
        <v>39</v>
      </c>
      <c r="E200" t="s">
        <v>58</v>
      </c>
      <c r="F200" t="s">
        <v>59</v>
      </c>
      <c r="G200">
        <v>600</v>
      </c>
      <c r="H200">
        <v>2</v>
      </c>
      <c r="I200">
        <v>1200</v>
      </c>
      <c r="J200" t="s">
        <v>71</v>
      </c>
      <c r="K200" t="s">
        <v>61</v>
      </c>
      <c r="L200" t="s">
        <v>36</v>
      </c>
      <c r="M200" t="s">
        <v>8</v>
      </c>
    </row>
    <row r="201" spans="1:13" x14ac:dyDescent="0.25">
      <c r="A201" t="s">
        <v>283</v>
      </c>
      <c r="B201" s="2">
        <v>45704</v>
      </c>
      <c r="C201" t="s">
        <v>17</v>
      </c>
      <c r="D201" t="s">
        <v>39</v>
      </c>
      <c r="E201" t="s">
        <v>54</v>
      </c>
      <c r="F201" t="s">
        <v>12</v>
      </c>
      <c r="G201">
        <v>800</v>
      </c>
      <c r="H201">
        <v>5</v>
      </c>
      <c r="I201">
        <v>4000</v>
      </c>
      <c r="J201" t="s">
        <v>79</v>
      </c>
      <c r="K201" t="s">
        <v>44</v>
      </c>
      <c r="L201" t="s">
        <v>26</v>
      </c>
      <c r="M201" t="s">
        <v>8</v>
      </c>
    </row>
    <row r="202" spans="1:13" x14ac:dyDescent="0.25">
      <c r="A202" t="s">
        <v>16</v>
      </c>
      <c r="B202" s="2">
        <v>45703</v>
      </c>
      <c r="C202" t="s">
        <v>17</v>
      </c>
      <c r="D202" t="s">
        <v>18</v>
      </c>
      <c r="E202" t="s">
        <v>3</v>
      </c>
      <c r="F202" t="s">
        <v>4</v>
      </c>
      <c r="G202">
        <v>60</v>
      </c>
      <c r="H202">
        <v>2</v>
      </c>
      <c r="I202">
        <v>120</v>
      </c>
      <c r="J202" t="s">
        <v>19</v>
      </c>
      <c r="K202" t="s">
        <v>20</v>
      </c>
      <c r="L202" t="s">
        <v>21</v>
      </c>
      <c r="M202" t="s">
        <v>8</v>
      </c>
    </row>
    <row r="203" spans="1:13" x14ac:dyDescent="0.25">
      <c r="A203" t="s">
        <v>270</v>
      </c>
      <c r="B203" s="2">
        <v>45703</v>
      </c>
      <c r="C203" t="s">
        <v>17</v>
      </c>
      <c r="D203" t="s">
        <v>18</v>
      </c>
      <c r="E203" t="s">
        <v>11</v>
      </c>
      <c r="F203" t="s">
        <v>12</v>
      </c>
      <c r="G203">
        <v>100</v>
      </c>
      <c r="H203">
        <v>4</v>
      </c>
      <c r="I203">
        <v>400</v>
      </c>
      <c r="J203" t="s">
        <v>55</v>
      </c>
      <c r="K203" t="s">
        <v>6</v>
      </c>
      <c r="L203" t="s">
        <v>56</v>
      </c>
      <c r="M203" t="s">
        <v>8</v>
      </c>
    </row>
    <row r="204" spans="1:13" x14ac:dyDescent="0.25">
      <c r="A204" t="s">
        <v>76</v>
      </c>
      <c r="B204" s="2">
        <v>45702</v>
      </c>
      <c r="C204" t="s">
        <v>17</v>
      </c>
      <c r="D204" t="s">
        <v>2</v>
      </c>
      <c r="E204" t="s">
        <v>58</v>
      </c>
      <c r="F204" t="s">
        <v>59</v>
      </c>
      <c r="G204">
        <v>600</v>
      </c>
      <c r="H204">
        <v>1</v>
      </c>
      <c r="I204">
        <v>600</v>
      </c>
      <c r="J204" t="s">
        <v>24</v>
      </c>
      <c r="K204" t="s">
        <v>44</v>
      </c>
      <c r="L204" t="s">
        <v>7</v>
      </c>
      <c r="M204" t="s">
        <v>8</v>
      </c>
    </row>
    <row r="205" spans="1:13" x14ac:dyDescent="0.25">
      <c r="A205" t="s">
        <v>136</v>
      </c>
      <c r="B205" s="2">
        <v>45702</v>
      </c>
      <c r="C205" t="s">
        <v>17</v>
      </c>
      <c r="D205" t="s">
        <v>2</v>
      </c>
      <c r="E205" t="s">
        <v>31</v>
      </c>
      <c r="F205" t="s">
        <v>32</v>
      </c>
      <c r="G205">
        <v>20</v>
      </c>
      <c r="H205">
        <v>5</v>
      </c>
      <c r="I205">
        <v>100</v>
      </c>
      <c r="J205" t="s">
        <v>24</v>
      </c>
      <c r="K205" t="s">
        <v>44</v>
      </c>
      <c r="L205" t="s">
        <v>36</v>
      </c>
      <c r="M205" t="s">
        <v>37</v>
      </c>
    </row>
    <row r="206" spans="1:13" x14ac:dyDescent="0.25">
      <c r="A206" t="s">
        <v>150</v>
      </c>
      <c r="B206" s="2">
        <v>45702</v>
      </c>
      <c r="C206" t="s">
        <v>17</v>
      </c>
      <c r="D206" t="s">
        <v>2</v>
      </c>
      <c r="E206" t="s">
        <v>29</v>
      </c>
      <c r="F206" t="s">
        <v>12</v>
      </c>
      <c r="G206">
        <v>150</v>
      </c>
      <c r="H206">
        <v>2</v>
      </c>
      <c r="I206">
        <v>300</v>
      </c>
      <c r="J206" t="s">
        <v>71</v>
      </c>
      <c r="K206" t="s">
        <v>42</v>
      </c>
      <c r="L206" t="s">
        <v>36</v>
      </c>
      <c r="M206" t="s">
        <v>15</v>
      </c>
    </row>
    <row r="207" spans="1:13" x14ac:dyDescent="0.25">
      <c r="A207" t="s">
        <v>240</v>
      </c>
      <c r="B207" s="2">
        <v>45702</v>
      </c>
      <c r="C207" t="s">
        <v>17</v>
      </c>
      <c r="D207" t="s">
        <v>2</v>
      </c>
      <c r="E207" t="s">
        <v>47</v>
      </c>
      <c r="F207" t="s">
        <v>48</v>
      </c>
      <c r="G207">
        <v>15</v>
      </c>
      <c r="H207">
        <v>1</v>
      </c>
      <c r="I207">
        <v>15</v>
      </c>
      <c r="J207" t="s">
        <v>19</v>
      </c>
      <c r="K207" t="s">
        <v>44</v>
      </c>
      <c r="L207" t="s">
        <v>21</v>
      </c>
      <c r="M207" t="s">
        <v>37</v>
      </c>
    </row>
    <row r="208" spans="1:13" x14ac:dyDescent="0.25">
      <c r="A208" t="s">
        <v>116</v>
      </c>
      <c r="B208" s="2">
        <v>45701</v>
      </c>
      <c r="C208" t="s">
        <v>17</v>
      </c>
      <c r="D208" t="s">
        <v>10</v>
      </c>
      <c r="E208" t="s">
        <v>63</v>
      </c>
      <c r="F208" t="s">
        <v>59</v>
      </c>
      <c r="G208">
        <v>1200</v>
      </c>
      <c r="H208">
        <v>4</v>
      </c>
      <c r="I208">
        <v>4800</v>
      </c>
      <c r="J208" t="s">
        <v>13</v>
      </c>
      <c r="K208" t="s">
        <v>20</v>
      </c>
      <c r="L208" t="s">
        <v>36</v>
      </c>
      <c r="M208" t="s">
        <v>15</v>
      </c>
    </row>
    <row r="209" spans="1:13" x14ac:dyDescent="0.25">
      <c r="A209" t="s">
        <v>152</v>
      </c>
      <c r="B209" s="2">
        <v>45701</v>
      </c>
      <c r="C209" t="s">
        <v>17</v>
      </c>
      <c r="D209" t="s">
        <v>10</v>
      </c>
      <c r="E209" t="s">
        <v>3</v>
      </c>
      <c r="F209" t="s">
        <v>4</v>
      </c>
      <c r="G209">
        <v>60</v>
      </c>
      <c r="H209">
        <v>1</v>
      </c>
      <c r="I209">
        <v>60</v>
      </c>
      <c r="J209" t="s">
        <v>79</v>
      </c>
      <c r="K209" t="s">
        <v>35</v>
      </c>
      <c r="L209" t="s">
        <v>56</v>
      </c>
      <c r="M209" t="s">
        <v>8</v>
      </c>
    </row>
    <row r="210" spans="1:13" x14ac:dyDescent="0.25">
      <c r="A210" t="s">
        <v>81</v>
      </c>
      <c r="B210" s="2">
        <v>45700</v>
      </c>
      <c r="C210" t="s">
        <v>17</v>
      </c>
      <c r="D210" t="s">
        <v>23</v>
      </c>
      <c r="E210" t="s">
        <v>40</v>
      </c>
      <c r="F210" t="s">
        <v>12</v>
      </c>
      <c r="G210">
        <v>500</v>
      </c>
      <c r="H210">
        <v>1</v>
      </c>
      <c r="I210">
        <v>500</v>
      </c>
      <c r="J210" t="s">
        <v>41</v>
      </c>
      <c r="K210" t="s">
        <v>20</v>
      </c>
      <c r="L210" t="s">
        <v>26</v>
      </c>
      <c r="M210" t="s">
        <v>8</v>
      </c>
    </row>
    <row r="211" spans="1:13" x14ac:dyDescent="0.25">
      <c r="A211" t="s">
        <v>258</v>
      </c>
      <c r="B211" s="2">
        <v>45700</v>
      </c>
      <c r="C211" t="s">
        <v>17</v>
      </c>
      <c r="D211" t="s">
        <v>23</v>
      </c>
      <c r="E211" t="s">
        <v>58</v>
      </c>
      <c r="F211" t="s">
        <v>59</v>
      </c>
      <c r="G211">
        <v>600</v>
      </c>
      <c r="H211">
        <v>5</v>
      </c>
      <c r="I211">
        <v>3000</v>
      </c>
      <c r="J211" t="s">
        <v>5</v>
      </c>
      <c r="K211" t="s">
        <v>42</v>
      </c>
      <c r="L211" t="s">
        <v>21</v>
      </c>
      <c r="M211" t="s">
        <v>15</v>
      </c>
    </row>
    <row r="212" spans="1:13" x14ac:dyDescent="0.25">
      <c r="A212" t="s">
        <v>280</v>
      </c>
      <c r="B212" s="2">
        <v>45700</v>
      </c>
      <c r="C212" t="s">
        <v>17</v>
      </c>
      <c r="D212" t="s">
        <v>23</v>
      </c>
      <c r="E212" t="s">
        <v>3</v>
      </c>
      <c r="F212" t="s">
        <v>4</v>
      </c>
      <c r="G212">
        <v>60</v>
      </c>
      <c r="H212">
        <v>1</v>
      </c>
      <c r="I212">
        <v>60</v>
      </c>
      <c r="J212" t="s">
        <v>49</v>
      </c>
      <c r="K212" t="s">
        <v>14</v>
      </c>
      <c r="L212" t="s">
        <v>26</v>
      </c>
      <c r="M212" t="s">
        <v>15</v>
      </c>
    </row>
    <row r="213" spans="1:13" x14ac:dyDescent="0.25">
      <c r="A213" t="s">
        <v>100</v>
      </c>
      <c r="B213" s="2">
        <v>45699</v>
      </c>
      <c r="C213" t="s">
        <v>17</v>
      </c>
      <c r="D213" t="s">
        <v>34</v>
      </c>
      <c r="E213" t="s">
        <v>31</v>
      </c>
      <c r="F213" t="s">
        <v>32</v>
      </c>
      <c r="G213">
        <v>20</v>
      </c>
      <c r="H213">
        <v>5</v>
      </c>
      <c r="I213">
        <v>100</v>
      </c>
      <c r="J213" t="s">
        <v>79</v>
      </c>
      <c r="K213" t="s">
        <v>20</v>
      </c>
      <c r="L213" t="s">
        <v>21</v>
      </c>
      <c r="M213" t="s">
        <v>37</v>
      </c>
    </row>
    <row r="214" spans="1:13" x14ac:dyDescent="0.25">
      <c r="A214" t="s">
        <v>188</v>
      </c>
      <c r="B214" s="2">
        <v>45699</v>
      </c>
      <c r="C214" t="s">
        <v>17</v>
      </c>
      <c r="D214" t="s">
        <v>34</v>
      </c>
      <c r="E214" t="s">
        <v>63</v>
      </c>
      <c r="F214" t="s">
        <v>59</v>
      </c>
      <c r="G214">
        <v>1200</v>
      </c>
      <c r="H214">
        <v>2</v>
      </c>
      <c r="I214">
        <v>2400</v>
      </c>
      <c r="J214" t="s">
        <v>55</v>
      </c>
      <c r="K214" t="s">
        <v>14</v>
      </c>
      <c r="L214" t="s">
        <v>36</v>
      </c>
      <c r="M214" t="s">
        <v>8</v>
      </c>
    </row>
    <row r="215" spans="1:13" x14ac:dyDescent="0.25">
      <c r="A215" t="s">
        <v>190</v>
      </c>
      <c r="B215" s="2">
        <v>45699</v>
      </c>
      <c r="C215" t="s">
        <v>17</v>
      </c>
      <c r="D215" t="s">
        <v>34</v>
      </c>
      <c r="E215" t="s">
        <v>29</v>
      </c>
      <c r="F215" t="s">
        <v>12</v>
      </c>
      <c r="G215">
        <v>150</v>
      </c>
      <c r="H215">
        <v>5</v>
      </c>
      <c r="I215">
        <v>750</v>
      </c>
      <c r="J215" t="s">
        <v>19</v>
      </c>
      <c r="K215" t="s">
        <v>67</v>
      </c>
      <c r="L215" t="s">
        <v>26</v>
      </c>
      <c r="M215" t="s">
        <v>8</v>
      </c>
    </row>
    <row r="216" spans="1:13" x14ac:dyDescent="0.25">
      <c r="A216" t="s">
        <v>289</v>
      </c>
      <c r="B216" s="2">
        <v>45699</v>
      </c>
      <c r="C216" t="s">
        <v>17</v>
      </c>
      <c r="D216" t="s">
        <v>34</v>
      </c>
      <c r="E216" t="s">
        <v>11</v>
      </c>
      <c r="F216" t="s">
        <v>12</v>
      </c>
      <c r="G216">
        <v>100</v>
      </c>
      <c r="H216">
        <v>3</v>
      </c>
      <c r="I216">
        <v>300</v>
      </c>
      <c r="J216" t="s">
        <v>52</v>
      </c>
      <c r="K216" t="s">
        <v>35</v>
      </c>
      <c r="L216" t="s">
        <v>7</v>
      </c>
      <c r="M216" t="s">
        <v>8</v>
      </c>
    </row>
    <row r="217" spans="1:13" x14ac:dyDescent="0.25">
      <c r="A217" t="s">
        <v>66</v>
      </c>
      <c r="B217" s="2">
        <v>45698</v>
      </c>
      <c r="C217" t="s">
        <v>17</v>
      </c>
      <c r="D217" t="s">
        <v>28</v>
      </c>
      <c r="E217" t="s">
        <v>40</v>
      </c>
      <c r="F217" t="s">
        <v>12</v>
      </c>
      <c r="G217">
        <v>500</v>
      </c>
      <c r="H217">
        <v>2</v>
      </c>
      <c r="I217">
        <v>1000</v>
      </c>
      <c r="J217" t="s">
        <v>52</v>
      </c>
      <c r="K217" t="s">
        <v>67</v>
      </c>
      <c r="L217" t="s">
        <v>21</v>
      </c>
      <c r="M217" t="s">
        <v>37</v>
      </c>
    </row>
    <row r="218" spans="1:13" x14ac:dyDescent="0.25">
      <c r="A218" t="s">
        <v>82</v>
      </c>
      <c r="B218" s="2">
        <v>45698</v>
      </c>
      <c r="C218" t="s">
        <v>17</v>
      </c>
      <c r="D218" t="s">
        <v>28</v>
      </c>
      <c r="E218" t="s">
        <v>58</v>
      </c>
      <c r="F218" t="s">
        <v>59</v>
      </c>
      <c r="G218">
        <v>600</v>
      </c>
      <c r="H218">
        <v>3</v>
      </c>
      <c r="I218">
        <v>1800</v>
      </c>
      <c r="J218" t="s">
        <v>13</v>
      </c>
      <c r="K218" t="s">
        <v>25</v>
      </c>
      <c r="L218" t="s">
        <v>56</v>
      </c>
      <c r="M218" t="s">
        <v>8</v>
      </c>
    </row>
    <row r="219" spans="1:13" x14ac:dyDescent="0.25">
      <c r="A219" t="s">
        <v>114</v>
      </c>
      <c r="B219" s="2">
        <v>45698</v>
      </c>
      <c r="C219" t="s">
        <v>17</v>
      </c>
      <c r="D219" t="s">
        <v>28</v>
      </c>
      <c r="E219" t="s">
        <v>54</v>
      </c>
      <c r="F219" t="s">
        <v>12</v>
      </c>
      <c r="G219">
        <v>800</v>
      </c>
      <c r="H219">
        <v>5</v>
      </c>
      <c r="I219">
        <v>4000</v>
      </c>
      <c r="J219" t="s">
        <v>24</v>
      </c>
      <c r="K219" t="s">
        <v>14</v>
      </c>
      <c r="L219" t="s">
        <v>36</v>
      </c>
      <c r="M219" t="s">
        <v>37</v>
      </c>
    </row>
    <row r="220" spans="1:13" x14ac:dyDescent="0.25">
      <c r="A220" t="s">
        <v>170</v>
      </c>
      <c r="B220" s="2">
        <v>45698</v>
      </c>
      <c r="C220" t="s">
        <v>17</v>
      </c>
      <c r="D220" t="s">
        <v>28</v>
      </c>
      <c r="E220" t="s">
        <v>11</v>
      </c>
      <c r="F220" t="s">
        <v>12</v>
      </c>
      <c r="G220">
        <v>100</v>
      </c>
      <c r="H220">
        <v>5</v>
      </c>
      <c r="I220">
        <v>500</v>
      </c>
      <c r="J220" t="s">
        <v>19</v>
      </c>
      <c r="K220" t="s">
        <v>35</v>
      </c>
      <c r="L220" t="s">
        <v>21</v>
      </c>
      <c r="M220" t="s">
        <v>37</v>
      </c>
    </row>
    <row r="221" spans="1:13" x14ac:dyDescent="0.25">
      <c r="A221" t="s">
        <v>176</v>
      </c>
      <c r="B221" s="2">
        <v>45698</v>
      </c>
      <c r="C221" t="s">
        <v>17</v>
      </c>
      <c r="D221" t="s">
        <v>28</v>
      </c>
      <c r="E221" t="s">
        <v>47</v>
      </c>
      <c r="F221" t="s">
        <v>48</v>
      </c>
      <c r="G221">
        <v>15</v>
      </c>
      <c r="H221">
        <v>1</v>
      </c>
      <c r="I221">
        <v>15</v>
      </c>
      <c r="J221" t="s">
        <v>5</v>
      </c>
      <c r="K221" t="s">
        <v>61</v>
      </c>
      <c r="L221" t="s">
        <v>56</v>
      </c>
      <c r="M221" t="s">
        <v>15</v>
      </c>
    </row>
    <row r="222" spans="1:13" x14ac:dyDescent="0.25">
      <c r="A222" t="s">
        <v>182</v>
      </c>
      <c r="B222" s="2">
        <v>45698</v>
      </c>
      <c r="C222" t="s">
        <v>17</v>
      </c>
      <c r="D222" t="s">
        <v>28</v>
      </c>
      <c r="E222" t="s">
        <v>29</v>
      </c>
      <c r="F222" t="s">
        <v>12</v>
      </c>
      <c r="G222">
        <v>150</v>
      </c>
      <c r="H222">
        <v>5</v>
      </c>
      <c r="I222">
        <v>750</v>
      </c>
      <c r="J222" t="s">
        <v>49</v>
      </c>
      <c r="K222" t="s">
        <v>44</v>
      </c>
      <c r="L222" t="s">
        <v>36</v>
      </c>
      <c r="M222" t="s">
        <v>37</v>
      </c>
    </row>
    <row r="223" spans="1:13" x14ac:dyDescent="0.25">
      <c r="A223" t="s">
        <v>187</v>
      </c>
      <c r="B223" s="2">
        <v>45698</v>
      </c>
      <c r="C223" t="s">
        <v>17</v>
      </c>
      <c r="D223" t="s">
        <v>28</v>
      </c>
      <c r="E223" t="s">
        <v>31</v>
      </c>
      <c r="F223" t="s">
        <v>32</v>
      </c>
      <c r="G223">
        <v>20</v>
      </c>
      <c r="H223">
        <v>1</v>
      </c>
      <c r="I223">
        <v>20</v>
      </c>
      <c r="J223" t="s">
        <v>24</v>
      </c>
      <c r="K223" t="s">
        <v>42</v>
      </c>
      <c r="L223" t="s">
        <v>26</v>
      </c>
      <c r="M223" t="s">
        <v>15</v>
      </c>
    </row>
    <row r="224" spans="1:13" x14ac:dyDescent="0.25">
      <c r="A224" t="s">
        <v>241</v>
      </c>
      <c r="B224" s="2">
        <v>45698</v>
      </c>
      <c r="C224" t="s">
        <v>17</v>
      </c>
      <c r="D224" t="s">
        <v>28</v>
      </c>
      <c r="E224" t="s">
        <v>54</v>
      </c>
      <c r="F224" t="s">
        <v>12</v>
      </c>
      <c r="G224">
        <v>800</v>
      </c>
      <c r="H224">
        <v>3</v>
      </c>
      <c r="I224">
        <v>2400</v>
      </c>
      <c r="J224" t="s">
        <v>79</v>
      </c>
      <c r="K224" t="s">
        <v>35</v>
      </c>
      <c r="L224" t="s">
        <v>21</v>
      </c>
      <c r="M224" t="s">
        <v>37</v>
      </c>
    </row>
    <row r="225" spans="1:13" x14ac:dyDescent="0.25">
      <c r="A225" t="s">
        <v>252</v>
      </c>
      <c r="B225" s="2">
        <v>45698</v>
      </c>
      <c r="C225" t="s">
        <v>17</v>
      </c>
      <c r="D225" t="s">
        <v>28</v>
      </c>
      <c r="E225" t="s">
        <v>47</v>
      </c>
      <c r="F225" t="s">
        <v>48</v>
      </c>
      <c r="G225">
        <v>15</v>
      </c>
      <c r="H225">
        <v>2</v>
      </c>
      <c r="I225">
        <v>30</v>
      </c>
      <c r="J225" t="s">
        <v>71</v>
      </c>
      <c r="K225" t="s">
        <v>67</v>
      </c>
      <c r="L225" t="s">
        <v>7</v>
      </c>
      <c r="M225" t="s">
        <v>37</v>
      </c>
    </row>
    <row r="226" spans="1:13" x14ac:dyDescent="0.25">
      <c r="A226" t="s">
        <v>272</v>
      </c>
      <c r="B226" s="2">
        <v>45698</v>
      </c>
      <c r="C226" t="s">
        <v>17</v>
      </c>
      <c r="D226" t="s">
        <v>28</v>
      </c>
      <c r="E226" t="s">
        <v>29</v>
      </c>
      <c r="F226" t="s">
        <v>12</v>
      </c>
      <c r="G226">
        <v>150</v>
      </c>
      <c r="H226">
        <v>3</v>
      </c>
      <c r="I226">
        <v>450</v>
      </c>
      <c r="J226" t="s">
        <v>52</v>
      </c>
      <c r="K226" t="s">
        <v>20</v>
      </c>
      <c r="L226" t="s">
        <v>7</v>
      </c>
      <c r="M226" t="s">
        <v>37</v>
      </c>
    </row>
    <row r="227" spans="1:13" x14ac:dyDescent="0.25">
      <c r="A227" t="s">
        <v>88</v>
      </c>
      <c r="B227" s="2">
        <v>45697</v>
      </c>
      <c r="C227" t="s">
        <v>17</v>
      </c>
      <c r="D227" t="s">
        <v>39</v>
      </c>
      <c r="E227" t="s">
        <v>63</v>
      </c>
      <c r="F227" t="s">
        <v>59</v>
      </c>
      <c r="G227">
        <v>1200</v>
      </c>
      <c r="H227">
        <v>2</v>
      </c>
      <c r="I227">
        <v>2400</v>
      </c>
      <c r="J227" t="s">
        <v>41</v>
      </c>
      <c r="K227" t="s">
        <v>44</v>
      </c>
      <c r="L227" t="s">
        <v>36</v>
      </c>
      <c r="M227" t="s">
        <v>8</v>
      </c>
    </row>
    <row r="228" spans="1:13" x14ac:dyDescent="0.25">
      <c r="A228" t="s">
        <v>214</v>
      </c>
      <c r="B228" s="2">
        <v>45697</v>
      </c>
      <c r="C228" t="s">
        <v>17</v>
      </c>
      <c r="D228" t="s">
        <v>39</v>
      </c>
      <c r="E228" t="s">
        <v>40</v>
      </c>
      <c r="F228" t="s">
        <v>12</v>
      </c>
      <c r="G228">
        <v>500</v>
      </c>
      <c r="H228">
        <v>2</v>
      </c>
      <c r="I228">
        <v>1000</v>
      </c>
      <c r="J228" t="s">
        <v>24</v>
      </c>
      <c r="K228" t="s">
        <v>80</v>
      </c>
      <c r="L228" t="s">
        <v>26</v>
      </c>
      <c r="M228" t="s">
        <v>37</v>
      </c>
    </row>
    <row r="229" spans="1:13" x14ac:dyDescent="0.25">
      <c r="A229" t="s">
        <v>292</v>
      </c>
      <c r="B229" s="2">
        <v>45697</v>
      </c>
      <c r="C229" t="s">
        <v>17</v>
      </c>
      <c r="D229" t="s">
        <v>39</v>
      </c>
      <c r="E229" t="s">
        <v>29</v>
      </c>
      <c r="F229" t="s">
        <v>12</v>
      </c>
      <c r="G229">
        <v>150</v>
      </c>
      <c r="H229">
        <v>1</v>
      </c>
      <c r="I229">
        <v>150</v>
      </c>
      <c r="J229" t="s">
        <v>19</v>
      </c>
      <c r="K229" t="s">
        <v>20</v>
      </c>
      <c r="L229" t="s">
        <v>56</v>
      </c>
      <c r="M229" t="s">
        <v>15</v>
      </c>
    </row>
    <row r="230" spans="1:13" x14ac:dyDescent="0.25">
      <c r="A230" t="s">
        <v>95</v>
      </c>
      <c r="B230" s="2">
        <v>45696</v>
      </c>
      <c r="C230" t="s">
        <v>17</v>
      </c>
      <c r="D230" t="s">
        <v>18</v>
      </c>
      <c r="E230" t="s">
        <v>31</v>
      </c>
      <c r="F230" t="s">
        <v>32</v>
      </c>
      <c r="G230">
        <v>20</v>
      </c>
      <c r="H230">
        <v>4</v>
      </c>
      <c r="I230">
        <v>80</v>
      </c>
      <c r="J230" t="s">
        <v>79</v>
      </c>
      <c r="K230" t="s">
        <v>20</v>
      </c>
      <c r="L230" t="s">
        <v>26</v>
      </c>
      <c r="M230" t="s">
        <v>15</v>
      </c>
    </row>
    <row r="231" spans="1:13" x14ac:dyDescent="0.25">
      <c r="A231" t="s">
        <v>202</v>
      </c>
      <c r="B231" s="2">
        <v>45696</v>
      </c>
      <c r="C231" t="s">
        <v>17</v>
      </c>
      <c r="D231" t="s">
        <v>18</v>
      </c>
      <c r="E231" t="s">
        <v>47</v>
      </c>
      <c r="F231" t="s">
        <v>48</v>
      </c>
      <c r="G231">
        <v>15</v>
      </c>
      <c r="H231">
        <v>4</v>
      </c>
      <c r="I231">
        <v>60</v>
      </c>
      <c r="J231" t="s">
        <v>55</v>
      </c>
      <c r="K231" t="s">
        <v>80</v>
      </c>
      <c r="L231" t="s">
        <v>56</v>
      </c>
      <c r="M231" t="s">
        <v>8</v>
      </c>
    </row>
    <row r="232" spans="1:13" x14ac:dyDescent="0.25">
      <c r="A232" t="s">
        <v>209</v>
      </c>
      <c r="B232" s="2">
        <v>45696</v>
      </c>
      <c r="C232" t="s">
        <v>17</v>
      </c>
      <c r="D232" t="s">
        <v>18</v>
      </c>
      <c r="E232" t="s">
        <v>40</v>
      </c>
      <c r="F232" t="s">
        <v>12</v>
      </c>
      <c r="G232">
        <v>500</v>
      </c>
      <c r="H232">
        <v>3</v>
      </c>
      <c r="I232">
        <v>1500</v>
      </c>
      <c r="J232" t="s">
        <v>41</v>
      </c>
      <c r="K232" t="s">
        <v>20</v>
      </c>
      <c r="L232" t="s">
        <v>26</v>
      </c>
      <c r="M232" t="s">
        <v>15</v>
      </c>
    </row>
    <row r="233" spans="1:13" x14ac:dyDescent="0.25">
      <c r="A233" t="s">
        <v>77</v>
      </c>
      <c r="B233" s="2">
        <v>45695</v>
      </c>
      <c r="C233" t="s">
        <v>17</v>
      </c>
      <c r="D233" t="s">
        <v>2</v>
      </c>
      <c r="E233" t="s">
        <v>31</v>
      </c>
      <c r="F233" t="s">
        <v>32</v>
      </c>
      <c r="G233">
        <v>20</v>
      </c>
      <c r="H233">
        <v>1</v>
      </c>
      <c r="I233">
        <v>20</v>
      </c>
      <c r="J233" t="s">
        <v>55</v>
      </c>
      <c r="K233" t="s">
        <v>6</v>
      </c>
      <c r="L233" t="s">
        <v>21</v>
      </c>
      <c r="M233" t="s">
        <v>15</v>
      </c>
    </row>
    <row r="234" spans="1:13" x14ac:dyDescent="0.25">
      <c r="A234" t="s">
        <v>186</v>
      </c>
      <c r="B234" s="2">
        <v>45695</v>
      </c>
      <c r="C234" t="s">
        <v>17</v>
      </c>
      <c r="D234" t="s">
        <v>2</v>
      </c>
      <c r="E234" t="s">
        <v>40</v>
      </c>
      <c r="F234" t="s">
        <v>12</v>
      </c>
      <c r="G234">
        <v>500</v>
      </c>
      <c r="H234">
        <v>5</v>
      </c>
      <c r="I234">
        <v>2500</v>
      </c>
      <c r="J234" t="s">
        <v>49</v>
      </c>
      <c r="K234" t="s">
        <v>80</v>
      </c>
      <c r="L234" t="s">
        <v>56</v>
      </c>
      <c r="M234" t="s">
        <v>15</v>
      </c>
    </row>
    <row r="235" spans="1:13" x14ac:dyDescent="0.25">
      <c r="A235" t="s">
        <v>137</v>
      </c>
      <c r="B235" s="2">
        <v>45694</v>
      </c>
      <c r="C235" t="s">
        <v>17</v>
      </c>
      <c r="D235" t="s">
        <v>10</v>
      </c>
      <c r="E235" t="s">
        <v>40</v>
      </c>
      <c r="F235" t="s">
        <v>12</v>
      </c>
      <c r="G235">
        <v>500</v>
      </c>
      <c r="H235">
        <v>5</v>
      </c>
      <c r="I235">
        <v>2500</v>
      </c>
      <c r="J235" t="s">
        <v>52</v>
      </c>
      <c r="K235" t="s">
        <v>35</v>
      </c>
      <c r="L235" t="s">
        <v>36</v>
      </c>
      <c r="M235" t="s">
        <v>37</v>
      </c>
    </row>
    <row r="236" spans="1:13" x14ac:dyDescent="0.25">
      <c r="A236" t="s">
        <v>140</v>
      </c>
      <c r="B236" s="2">
        <v>45694</v>
      </c>
      <c r="C236" t="s">
        <v>17</v>
      </c>
      <c r="D236" t="s">
        <v>10</v>
      </c>
      <c r="E236" t="s">
        <v>63</v>
      </c>
      <c r="F236" t="s">
        <v>59</v>
      </c>
      <c r="G236">
        <v>1200</v>
      </c>
      <c r="H236">
        <v>2</v>
      </c>
      <c r="I236">
        <v>2400</v>
      </c>
      <c r="J236" t="s">
        <v>71</v>
      </c>
      <c r="K236" t="s">
        <v>61</v>
      </c>
      <c r="L236" t="s">
        <v>7</v>
      </c>
      <c r="M236" t="s">
        <v>15</v>
      </c>
    </row>
    <row r="237" spans="1:13" x14ac:dyDescent="0.25">
      <c r="A237" t="s">
        <v>200</v>
      </c>
      <c r="B237" s="2">
        <v>45694</v>
      </c>
      <c r="C237" t="s">
        <v>17</v>
      </c>
      <c r="D237" t="s">
        <v>10</v>
      </c>
      <c r="E237" t="s">
        <v>11</v>
      </c>
      <c r="F237" t="s">
        <v>12</v>
      </c>
      <c r="G237">
        <v>100</v>
      </c>
      <c r="H237">
        <v>4</v>
      </c>
      <c r="I237">
        <v>400</v>
      </c>
      <c r="J237" t="s">
        <v>13</v>
      </c>
      <c r="K237" t="s">
        <v>67</v>
      </c>
      <c r="L237" t="s">
        <v>21</v>
      </c>
      <c r="M237" t="s">
        <v>8</v>
      </c>
    </row>
    <row r="238" spans="1:13" x14ac:dyDescent="0.25">
      <c r="A238" t="s">
        <v>212</v>
      </c>
      <c r="B238" s="2">
        <v>45694</v>
      </c>
      <c r="C238" t="s">
        <v>17</v>
      </c>
      <c r="D238" t="s">
        <v>10</v>
      </c>
      <c r="E238" t="s">
        <v>58</v>
      </c>
      <c r="F238" t="s">
        <v>59</v>
      </c>
      <c r="G238">
        <v>600</v>
      </c>
      <c r="H238">
        <v>3</v>
      </c>
      <c r="I238">
        <v>1800</v>
      </c>
      <c r="J238" t="s">
        <v>24</v>
      </c>
      <c r="K238" t="s">
        <v>20</v>
      </c>
      <c r="L238" t="s">
        <v>56</v>
      </c>
      <c r="M238" t="s">
        <v>8</v>
      </c>
    </row>
    <row r="239" spans="1:13" x14ac:dyDescent="0.25">
      <c r="A239" t="s">
        <v>230</v>
      </c>
      <c r="B239" s="2">
        <v>45694</v>
      </c>
      <c r="C239" t="s">
        <v>17</v>
      </c>
      <c r="D239" t="s">
        <v>10</v>
      </c>
      <c r="E239" t="s">
        <v>40</v>
      </c>
      <c r="F239" t="s">
        <v>12</v>
      </c>
      <c r="G239">
        <v>500</v>
      </c>
      <c r="H239">
        <v>3</v>
      </c>
      <c r="I239">
        <v>1500</v>
      </c>
      <c r="J239" t="s">
        <v>13</v>
      </c>
      <c r="K239" t="s">
        <v>80</v>
      </c>
      <c r="L239" t="s">
        <v>36</v>
      </c>
      <c r="M239" t="s">
        <v>37</v>
      </c>
    </row>
    <row r="240" spans="1:13" x14ac:dyDescent="0.25">
      <c r="A240" t="s">
        <v>265</v>
      </c>
      <c r="B240" s="2">
        <v>45694</v>
      </c>
      <c r="C240" t="s">
        <v>17</v>
      </c>
      <c r="D240" t="s">
        <v>10</v>
      </c>
      <c r="E240" t="s">
        <v>54</v>
      </c>
      <c r="F240" t="s">
        <v>12</v>
      </c>
      <c r="G240">
        <v>800</v>
      </c>
      <c r="H240">
        <v>1</v>
      </c>
      <c r="I240">
        <v>800</v>
      </c>
      <c r="J240" t="s">
        <v>79</v>
      </c>
      <c r="K240" t="s">
        <v>67</v>
      </c>
      <c r="L240" t="s">
        <v>21</v>
      </c>
      <c r="M240" t="s">
        <v>8</v>
      </c>
    </row>
    <row r="241" spans="1:13" x14ac:dyDescent="0.25">
      <c r="A241" t="s">
        <v>296</v>
      </c>
      <c r="B241" s="2">
        <v>45694</v>
      </c>
      <c r="C241" t="s">
        <v>17</v>
      </c>
      <c r="D241" t="s">
        <v>10</v>
      </c>
      <c r="E241" t="s">
        <v>40</v>
      </c>
      <c r="F241" t="s">
        <v>12</v>
      </c>
      <c r="G241">
        <v>500</v>
      </c>
      <c r="H241">
        <v>4</v>
      </c>
      <c r="I241">
        <v>2000</v>
      </c>
      <c r="J241" t="s">
        <v>5</v>
      </c>
      <c r="K241" t="s">
        <v>35</v>
      </c>
      <c r="L241" t="s">
        <v>26</v>
      </c>
      <c r="M241" t="s">
        <v>37</v>
      </c>
    </row>
    <row r="242" spans="1:13" x14ac:dyDescent="0.25">
      <c r="A242" t="s">
        <v>70</v>
      </c>
      <c r="B242" s="2">
        <v>45693</v>
      </c>
      <c r="C242" t="s">
        <v>17</v>
      </c>
      <c r="D242" t="s">
        <v>23</v>
      </c>
      <c r="E242" t="s">
        <v>11</v>
      </c>
      <c r="F242" t="s">
        <v>12</v>
      </c>
      <c r="G242">
        <v>100</v>
      </c>
      <c r="H242">
        <v>3</v>
      </c>
      <c r="I242">
        <v>300</v>
      </c>
      <c r="J242" t="s">
        <v>71</v>
      </c>
      <c r="K242" t="s">
        <v>42</v>
      </c>
      <c r="L242" t="s">
        <v>7</v>
      </c>
      <c r="M242" t="s">
        <v>8</v>
      </c>
    </row>
    <row r="243" spans="1:13" x14ac:dyDescent="0.25">
      <c r="A243" t="s">
        <v>199</v>
      </c>
      <c r="B243" s="2">
        <v>45693</v>
      </c>
      <c r="C243" t="s">
        <v>17</v>
      </c>
      <c r="D243" t="s">
        <v>23</v>
      </c>
      <c r="E243" t="s">
        <v>3</v>
      </c>
      <c r="F243" t="s">
        <v>4</v>
      </c>
      <c r="G243">
        <v>60</v>
      </c>
      <c r="H243">
        <v>5</v>
      </c>
      <c r="I243">
        <v>300</v>
      </c>
      <c r="J243" t="s">
        <v>79</v>
      </c>
      <c r="K243" t="s">
        <v>25</v>
      </c>
      <c r="L243" t="s">
        <v>36</v>
      </c>
      <c r="M243" t="s">
        <v>15</v>
      </c>
    </row>
    <row r="244" spans="1:13" x14ac:dyDescent="0.25">
      <c r="A244" t="s">
        <v>207</v>
      </c>
      <c r="B244" s="2">
        <v>45693</v>
      </c>
      <c r="C244" t="s">
        <v>17</v>
      </c>
      <c r="D244" t="s">
        <v>23</v>
      </c>
      <c r="E244" t="s">
        <v>63</v>
      </c>
      <c r="F244" t="s">
        <v>59</v>
      </c>
      <c r="G244">
        <v>1200</v>
      </c>
      <c r="H244">
        <v>4</v>
      </c>
      <c r="I244">
        <v>4800</v>
      </c>
      <c r="J244" t="s">
        <v>41</v>
      </c>
      <c r="K244" t="s">
        <v>61</v>
      </c>
      <c r="L244" t="s">
        <v>26</v>
      </c>
      <c r="M244" t="s">
        <v>15</v>
      </c>
    </row>
    <row r="245" spans="1:13" x14ac:dyDescent="0.25">
      <c r="A245" t="s">
        <v>85</v>
      </c>
      <c r="B245" s="2">
        <v>45692</v>
      </c>
      <c r="C245" t="s">
        <v>17</v>
      </c>
      <c r="D245" t="s">
        <v>34</v>
      </c>
      <c r="E245" t="s">
        <v>47</v>
      </c>
      <c r="F245" t="s">
        <v>48</v>
      </c>
      <c r="G245">
        <v>15</v>
      </c>
      <c r="H245">
        <v>1</v>
      </c>
      <c r="I245">
        <v>15</v>
      </c>
      <c r="J245" t="s">
        <v>24</v>
      </c>
      <c r="K245" t="s">
        <v>6</v>
      </c>
      <c r="L245" t="s">
        <v>7</v>
      </c>
      <c r="M245" t="s">
        <v>8</v>
      </c>
    </row>
    <row r="246" spans="1:13" x14ac:dyDescent="0.25">
      <c r="A246" t="s">
        <v>178</v>
      </c>
      <c r="B246" s="2">
        <v>45692</v>
      </c>
      <c r="C246" t="s">
        <v>17</v>
      </c>
      <c r="D246" t="s">
        <v>34</v>
      </c>
      <c r="E246" t="s">
        <v>63</v>
      </c>
      <c r="F246" t="s">
        <v>59</v>
      </c>
      <c r="G246">
        <v>1200</v>
      </c>
      <c r="H246">
        <v>5</v>
      </c>
      <c r="I246">
        <v>6000</v>
      </c>
      <c r="J246" t="s">
        <v>24</v>
      </c>
      <c r="K246" t="s">
        <v>80</v>
      </c>
      <c r="L246" t="s">
        <v>56</v>
      </c>
      <c r="M246" t="s">
        <v>15</v>
      </c>
    </row>
    <row r="247" spans="1:13" x14ac:dyDescent="0.25">
      <c r="A247" t="s">
        <v>297</v>
      </c>
      <c r="B247" s="2">
        <v>45692</v>
      </c>
      <c r="C247" t="s">
        <v>17</v>
      </c>
      <c r="D247" t="s">
        <v>34</v>
      </c>
      <c r="E247" t="s">
        <v>54</v>
      </c>
      <c r="F247" t="s">
        <v>12</v>
      </c>
      <c r="G247">
        <v>800</v>
      </c>
      <c r="H247">
        <v>1</v>
      </c>
      <c r="I247">
        <v>800</v>
      </c>
      <c r="J247" t="s">
        <v>52</v>
      </c>
      <c r="K247" t="s">
        <v>67</v>
      </c>
      <c r="L247" t="s">
        <v>26</v>
      </c>
      <c r="M247" t="s">
        <v>8</v>
      </c>
    </row>
    <row r="248" spans="1:13" x14ac:dyDescent="0.25">
      <c r="A248" t="s">
        <v>78</v>
      </c>
      <c r="B248" s="2">
        <v>45691</v>
      </c>
      <c r="C248" t="s">
        <v>17</v>
      </c>
      <c r="D248" t="s">
        <v>28</v>
      </c>
      <c r="E248" t="s">
        <v>11</v>
      </c>
      <c r="F248" t="s">
        <v>12</v>
      </c>
      <c r="G248">
        <v>100</v>
      </c>
      <c r="H248">
        <v>1</v>
      </c>
      <c r="I248">
        <v>100</v>
      </c>
      <c r="J248" t="s">
        <v>79</v>
      </c>
      <c r="K248" t="s">
        <v>80</v>
      </c>
      <c r="L248" t="s">
        <v>21</v>
      </c>
      <c r="M248" t="s">
        <v>37</v>
      </c>
    </row>
    <row r="249" spans="1:13" x14ac:dyDescent="0.25">
      <c r="A249" t="s">
        <v>143</v>
      </c>
      <c r="B249" s="2">
        <v>45691</v>
      </c>
      <c r="C249" t="s">
        <v>17</v>
      </c>
      <c r="D249" t="s">
        <v>28</v>
      </c>
      <c r="E249" t="s">
        <v>54</v>
      </c>
      <c r="F249" t="s">
        <v>12</v>
      </c>
      <c r="G249">
        <v>800</v>
      </c>
      <c r="H249">
        <v>4</v>
      </c>
      <c r="I249">
        <v>3200</v>
      </c>
      <c r="J249" t="s">
        <v>55</v>
      </c>
      <c r="K249" t="s">
        <v>35</v>
      </c>
      <c r="L249" t="s">
        <v>56</v>
      </c>
      <c r="M249" t="s">
        <v>15</v>
      </c>
    </row>
    <row r="250" spans="1:13" x14ac:dyDescent="0.25">
      <c r="A250" t="s">
        <v>253</v>
      </c>
      <c r="B250" s="2">
        <v>45691</v>
      </c>
      <c r="C250" t="s">
        <v>17</v>
      </c>
      <c r="D250" t="s">
        <v>28</v>
      </c>
      <c r="E250" t="s">
        <v>47</v>
      </c>
      <c r="F250" t="s">
        <v>48</v>
      </c>
      <c r="G250">
        <v>15</v>
      </c>
      <c r="H250">
        <v>4</v>
      </c>
      <c r="I250">
        <v>60</v>
      </c>
      <c r="J250" t="s">
        <v>52</v>
      </c>
      <c r="K250" t="s">
        <v>14</v>
      </c>
      <c r="L250" t="s">
        <v>26</v>
      </c>
      <c r="M250" t="s">
        <v>37</v>
      </c>
    </row>
    <row r="251" spans="1:13" x14ac:dyDescent="0.25">
      <c r="A251" t="s">
        <v>260</v>
      </c>
      <c r="B251" s="2">
        <v>45690</v>
      </c>
      <c r="C251" t="s">
        <v>17</v>
      </c>
      <c r="D251" t="s">
        <v>39</v>
      </c>
      <c r="E251" t="s">
        <v>63</v>
      </c>
      <c r="F251" t="s">
        <v>59</v>
      </c>
      <c r="G251">
        <v>1200</v>
      </c>
      <c r="H251">
        <v>3</v>
      </c>
      <c r="I251">
        <v>3600</v>
      </c>
      <c r="J251" t="s">
        <v>19</v>
      </c>
      <c r="K251" t="s">
        <v>42</v>
      </c>
      <c r="L251" t="s">
        <v>36</v>
      </c>
      <c r="M251" t="s">
        <v>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11A71A9-5592-48CA-B27B-19385A65D180}">
  <ds:schemaRefs/>
</ds:datastoreItem>
</file>

<file path=customXml/itemProps2.xml><?xml version="1.0" encoding="utf-8"?>
<ds:datastoreItem xmlns:ds="http://schemas.openxmlformats.org/officeDocument/2006/customXml" ds:itemID="{38CBC52A-38CF-483C-9A51-55ED588AD870}">
  <ds:schemaRefs/>
</ds:datastoreItem>
</file>

<file path=customXml/itemProps3.xml><?xml version="1.0" encoding="utf-8"?>
<ds:datastoreItem xmlns:ds="http://schemas.openxmlformats.org/officeDocument/2006/customXml" ds:itemID="{91B1FB14-682A-4848-832E-B096F57AC137}">
  <ds:schemaRefs/>
</ds:datastoreItem>
</file>

<file path=customXml/itemProps4.xml><?xml version="1.0" encoding="utf-8"?>
<ds:datastoreItem xmlns:ds="http://schemas.openxmlformats.org/officeDocument/2006/customXml" ds:itemID="{0A3A826F-1C0C-4BB7-B7AA-B6732F6FE3D2}">
  <ds:schemaRefs/>
</ds:datastoreItem>
</file>

<file path=customXml/itemProps5.xml><?xml version="1.0" encoding="utf-8"?>
<ds:datastoreItem xmlns:ds="http://schemas.openxmlformats.org/officeDocument/2006/customXml" ds:itemID="{2390CB19-3BD0-4382-A487-C64BF8FFEBA0}">
  <ds:schemaRefs/>
</ds:datastoreItem>
</file>

<file path=customXml/itemProps6.xml><?xml version="1.0" encoding="utf-8"?>
<ds:datastoreItem xmlns:ds="http://schemas.openxmlformats.org/officeDocument/2006/customXml" ds:itemID="{DDF3331C-A50A-47C1-9743-CAFEA5CB573E}">
  <ds:schemaRefs/>
</ds:datastoreItem>
</file>

<file path=customXml/itemProps7.xml><?xml version="1.0" encoding="utf-8"?>
<ds:datastoreItem xmlns:ds="http://schemas.openxmlformats.org/officeDocument/2006/customXml" ds:itemID="{135EE421-C5BC-443B-833F-591B9A9118BB}">
  <ds:schemaRefs/>
</ds:datastoreItem>
</file>

<file path=customXml/itemProps8.xml><?xml version="1.0" encoding="utf-8"?>
<ds:datastoreItem xmlns:ds="http://schemas.openxmlformats.org/officeDocument/2006/customXml" ds:itemID="{3E487DD0-A43E-4763-A207-E4F014D062D5}">
  <ds:schemaRefs/>
</ds:datastoreItem>
</file>

<file path=customXml/itemProps9.xml><?xml version="1.0" encoding="utf-8"?>
<ds:datastoreItem xmlns:ds="http://schemas.openxmlformats.org/officeDocument/2006/customXml" ds:itemID="{9EEAE2C0-77E0-488B-BE5A-0F0CCA88C3BD}">
  <ds:schemaRefs/>
</ds:datastoreItem>
</file>

<file path=customXml/itemProps10.xml><?xml version="1.0" encoding="utf-8"?>
<ds:datastoreItem xmlns:ds="http://schemas.openxmlformats.org/officeDocument/2006/customXml" ds:itemID="{6BEFB00F-A7A3-407E-961B-6286D9E5F9C4}">
  <ds:schemaRefs/>
</ds:datastoreItem>
</file>

<file path=customXml/itemProps11.xml><?xml version="1.0" encoding="utf-8"?>
<ds:datastoreItem xmlns:ds="http://schemas.openxmlformats.org/officeDocument/2006/customXml" ds:itemID="{833CE059-8CCD-4E17-8ED9-544676596B0C}">
  <ds:schemaRefs/>
</ds:datastoreItem>
</file>

<file path=customXml/itemProps12.xml><?xml version="1.0" encoding="utf-8"?>
<ds:datastoreItem xmlns:ds="http://schemas.openxmlformats.org/officeDocument/2006/customXml" ds:itemID="{A0231111-3540-4250-94B6-5D4FBFEE2E3A}">
  <ds:schemaRefs/>
</ds:datastoreItem>
</file>

<file path=customXml/itemProps13.xml><?xml version="1.0" encoding="utf-8"?>
<ds:datastoreItem xmlns:ds="http://schemas.openxmlformats.org/officeDocument/2006/customXml" ds:itemID="{312928E2-93F4-4732-B30A-4B49E5F31103}">
  <ds:schemaRefs/>
</ds:datastoreItem>
</file>

<file path=customXml/itemProps14.xml><?xml version="1.0" encoding="utf-8"?>
<ds:datastoreItem xmlns:ds="http://schemas.openxmlformats.org/officeDocument/2006/customXml" ds:itemID="{568C5243-B9A3-4DFC-9D39-E54D9C1BE3F2}">
  <ds:schemaRefs/>
</ds:datastoreItem>
</file>

<file path=customXml/itemProps15.xml><?xml version="1.0" encoding="utf-8"?>
<ds:datastoreItem xmlns:ds="http://schemas.openxmlformats.org/officeDocument/2006/customXml" ds:itemID="{B1E88F23-4D9C-4BA2-9F84-829B04E8B88C}">
  <ds:schemaRefs/>
</ds:datastoreItem>
</file>

<file path=customXml/itemProps16.xml><?xml version="1.0" encoding="utf-8"?>
<ds:datastoreItem xmlns:ds="http://schemas.openxmlformats.org/officeDocument/2006/customXml" ds:itemID="{78ADB579-C943-4A59-9008-5937923BAFA1}">
  <ds:schemaRefs/>
</ds:datastoreItem>
</file>

<file path=customXml/itemProps17.xml><?xml version="1.0" encoding="utf-8"?>
<ds:datastoreItem xmlns:ds="http://schemas.openxmlformats.org/officeDocument/2006/customXml" ds:itemID="{DA37C9C0-F89D-4248-AF86-96E03BCBC16B}">
  <ds:schemaRefs/>
</ds:datastoreItem>
</file>

<file path=customXml/itemProps18.xml><?xml version="1.0" encoding="utf-8"?>
<ds:datastoreItem xmlns:ds="http://schemas.openxmlformats.org/officeDocument/2006/customXml" ds:itemID="{CC9AB4FF-A01B-487B-A069-681667A4E1C6}">
  <ds:schemaRefs/>
</ds:datastoreItem>
</file>

<file path=customXml/itemProps19.xml><?xml version="1.0" encoding="utf-8"?>
<ds:datastoreItem xmlns:ds="http://schemas.openxmlformats.org/officeDocument/2006/customXml" ds:itemID="{D8721784-F165-43E7-A135-054D2760CD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Data_Analyze</vt:lpstr>
      <vt:lpstr>Transaction_ALL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Yogaswara</dc:creator>
  <cp:lastModifiedBy>Bayou Klueze</cp:lastModifiedBy>
  <cp:lastPrinted>2025-11-10T03:53:11Z</cp:lastPrinted>
  <dcterms:created xsi:type="dcterms:W3CDTF">2025-08-27T12:55:36Z</dcterms:created>
  <dcterms:modified xsi:type="dcterms:W3CDTF">2025-11-18T00:42:34Z</dcterms:modified>
</cp:coreProperties>
</file>